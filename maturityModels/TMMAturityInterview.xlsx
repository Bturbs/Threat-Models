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avid.cervigni/workspace/Corda5ThreatModels/maturityModels/"/>
    </mc:Choice>
  </mc:AlternateContent>
  <xr:revisionPtr revIDLastSave="0" documentId="13_ncr:1_{5AF177D9-A717-8C40-88B2-3E077F08BFEA}" xr6:coauthVersionLast="47" xr6:coauthVersionMax="47" xr10:uidLastSave="{00000000-0000-0000-0000-000000000000}"/>
  <bookViews>
    <workbookView xWindow="0" yWindow="760" windowWidth="34560" windowHeight="20300" activeTab="5" xr2:uid="{D21579CA-9A3C-0441-B51D-FB22D7ECA09C}"/>
  </bookViews>
  <sheets>
    <sheet name="initial - circa 2022" sheetId="3" r:id="rId1"/>
    <sheet name="phase 1 - 2023" sheetId="4" r:id="rId2"/>
    <sheet name="phase 2 - 2024" sheetId="5" r:id="rId3"/>
    <sheet name="pivot" sheetId="7" r:id="rId4"/>
    <sheet name="reports" sheetId="6" r:id="rId5"/>
    <sheet name="lookup" sheetId="2" r:id="rId6"/>
  </sheets>
  <externalReferences>
    <externalReference r:id="rId7"/>
  </externalReferences>
  <definedNames>
    <definedName name="D_TA_A_1_1">'[1]DV-Lists'!$M$9:$M$13</definedName>
    <definedName name="D_TA_A_2_1">'[1]DV-Lists'!$O$9:$O$13</definedName>
    <definedName name="D_TA_A_3_1">'[1]DV-Lists'!$Q$9:$Q$13</definedName>
    <definedName name="D_TA_B_1_1">'[1]DV-Lists'!$N$9:$N$13</definedName>
    <definedName name="D_TA_B_2_1">'[1]DV-Lists'!$P$9:$P$13</definedName>
    <definedName name="D_TA_B_3_1">'[1]DV-Lists'!$R$9:$R$13</definedName>
    <definedName name="_xlnm.Print_Titles" localSheetId="3">pivot!$A:$A,pivot!$29:$30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D13" i="5"/>
  <c r="F12" i="5"/>
  <c r="D12" i="5"/>
  <c r="F11" i="5"/>
  <c r="D11" i="5"/>
  <c r="F10" i="5"/>
  <c r="D10" i="5"/>
  <c r="F9" i="5"/>
  <c r="B24" i="5" s="1"/>
  <c r="D9" i="5"/>
  <c r="F8" i="5"/>
  <c r="D8" i="5"/>
  <c r="F7" i="5"/>
  <c r="D7" i="5"/>
  <c r="F6" i="5"/>
  <c r="D6" i="5"/>
  <c r="F5" i="5"/>
  <c r="B22" i="5" s="1"/>
  <c r="D5" i="5"/>
  <c r="F4" i="5"/>
  <c r="B23" i="5" s="1"/>
  <c r="C4" i="5"/>
  <c r="D4" i="5" s="1"/>
  <c r="B4" i="5"/>
  <c r="F3" i="5"/>
  <c r="C3" i="5"/>
  <c r="D3" i="5" s="1"/>
  <c r="B3" i="5"/>
  <c r="F2" i="5"/>
  <c r="C2" i="5"/>
  <c r="D2" i="5" s="1"/>
  <c r="B2" i="5"/>
  <c r="A2" i="5"/>
  <c r="F13" i="4"/>
  <c r="D13" i="4"/>
  <c r="F12" i="4"/>
  <c r="D12" i="4"/>
  <c r="F11" i="4"/>
  <c r="D11" i="4"/>
  <c r="F10" i="4"/>
  <c r="D10" i="4"/>
  <c r="F9" i="4"/>
  <c r="B24" i="4" s="1"/>
  <c r="D9" i="4"/>
  <c r="F8" i="4"/>
  <c r="D8" i="4"/>
  <c r="F7" i="4"/>
  <c r="D7" i="4"/>
  <c r="F6" i="4"/>
  <c r="D6" i="4"/>
  <c r="F5" i="4"/>
  <c r="B22" i="4" s="1"/>
  <c r="D5" i="4"/>
  <c r="F4" i="4"/>
  <c r="B23" i="4" s="1"/>
  <c r="C4" i="4"/>
  <c r="D4" i="4" s="1"/>
  <c r="B4" i="4"/>
  <c r="F3" i="4"/>
  <c r="B21" i="4" s="1"/>
  <c r="C3" i="4"/>
  <c r="D3" i="4" s="1"/>
  <c r="B3" i="4"/>
  <c r="F2" i="4"/>
  <c r="D2" i="4"/>
  <c r="C2" i="4"/>
  <c r="B2" i="4"/>
  <c r="A2" i="4"/>
  <c r="A2" i="3"/>
  <c r="F13" i="3"/>
  <c r="F12" i="3"/>
  <c r="F11" i="3"/>
  <c r="F10" i="3"/>
  <c r="F9" i="3"/>
  <c r="B24" i="3" s="1"/>
  <c r="F8" i="3"/>
  <c r="F7" i="3"/>
  <c r="F6" i="3"/>
  <c r="F5" i="3"/>
  <c r="D6" i="3"/>
  <c r="D7" i="3"/>
  <c r="D8" i="3"/>
  <c r="D9" i="3"/>
  <c r="D10" i="3"/>
  <c r="D11" i="3"/>
  <c r="D12" i="3"/>
  <c r="D13" i="3"/>
  <c r="D5" i="3"/>
  <c r="F4" i="3"/>
  <c r="C4" i="3"/>
  <c r="D4" i="3" s="1"/>
  <c r="B4" i="3"/>
  <c r="C2" i="3"/>
  <c r="D2" i="3" s="1"/>
  <c r="F3" i="3"/>
  <c r="C3" i="3"/>
  <c r="D3" i="3" s="1"/>
  <c r="B3" i="3"/>
  <c r="B2" i="3"/>
  <c r="F2" i="3"/>
  <c r="B25" i="5" l="1"/>
  <c r="B21" i="5"/>
  <c r="B27" i="5" s="1"/>
  <c r="B25" i="4"/>
  <c r="B17" i="7" s="1" a="1"/>
  <c r="B17" i="7" s="1"/>
  <c r="B27" i="4"/>
  <c r="B21" i="3"/>
  <c r="B22" i="3"/>
  <c r="B25" i="3"/>
  <c r="B23" i="3"/>
  <c r="B12" i="7" l="1" a="1"/>
  <c r="B12" i="7" s="1"/>
  <c r="B22" i="7" a="1"/>
  <c r="B22" i="7" s="1"/>
  <c r="B2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<sst xmlns="http://schemas.openxmlformats.org/spreadsheetml/2006/main" count="271" uniqueCount="113">
  <si>
    <t>Answer</t>
  </si>
  <si>
    <t>QuestionID</t>
  </si>
  <si>
    <t>Questiontext</t>
  </si>
  <si>
    <t>answer</t>
  </si>
  <si>
    <t>weight</t>
  </si>
  <si>
    <t>QFPI1.1</t>
  </si>
  <si>
    <t>How often the threat models are reviewed and maintained?</t>
  </si>
  <si>
    <t>No defined frequency</t>
  </si>
  <si>
    <t>Periodically</t>
  </si>
  <si>
    <t>At least annually</t>
  </si>
  <si>
    <t>At least annually and before every release</t>
  </si>
  <si>
    <t>QFPI2.1</t>
  </si>
  <si>
    <t>On what occasions TM is performed during SSDL?</t>
  </si>
  <si>
    <t>Process integration</t>
  </si>
  <si>
    <t>QFPI3.1</t>
  </si>
  <si>
    <t>QFM1.1</t>
  </si>
  <si>
    <t>QFM2.1</t>
  </si>
  <si>
    <t>QFM3.1</t>
  </si>
  <si>
    <t>QFSE1.1</t>
  </si>
  <si>
    <t>QFMM2.1</t>
  </si>
  <si>
    <t>QFENLC1.1</t>
  </si>
  <si>
    <t>QFENLC1.2</t>
  </si>
  <si>
    <t>QFIT1.1</t>
  </si>
  <si>
    <t>QFIT1.2</t>
  </si>
  <si>
    <t>maintenance and review frequency</t>
  </si>
  <si>
    <t>Threat Modeling process engagement</t>
  </si>
  <si>
    <t>Never performed</t>
  </si>
  <si>
    <t>On ad-hoc basis</t>
  </si>
  <si>
    <t>Modelling performed as part of standard process that is loosely aligned to release processes</t>
  </si>
  <si>
    <t>Integration into software delivery management (e.g. Agile) and using formal quality gates (Def of Done, Def of Ready) for change management and release criteria.</t>
  </si>
  <si>
    <t>feature</t>
  </si>
  <si>
    <t>Feature</t>
  </si>
  <si>
    <t>Question</t>
  </si>
  <si>
    <t>SSDL and TM features synergies</t>
  </si>
  <si>
    <t>How current threat modeling enables and improves other aspects of security and development?</t>
  </si>
  <si>
    <t>Threat Models are not present or if present are mostly ignored and unused to improve other aspects of development</t>
  </si>
  <si>
    <t>on ad-hoc basis threat models are used (for example as a reference documentation, or for customers request, or as compliance evidence)</t>
  </si>
  <si>
    <t xml:space="preserve">Threat Models are the main reference for securing software architecture and design </t>
  </si>
  <si>
    <t>Methodology &amp;​ granularity</t>
  </si>
  <si>
    <t>Threat Models findings and the identified mitigations feed at least some specific secure development practices, for example, dynamic testing, manual regression testing, penetration testing, static/dynamic/composition/interactive analysis</t>
  </si>
  <si>
    <r>
      <t>methodology and analysis consistency</t>
    </r>
    <r>
      <rPr>
        <sz val="12"/>
        <color rgb="FFD4D4D4"/>
        <rFont val="Menlo"/>
        <family val="2"/>
      </rPr>
      <t xml:space="preserve"> </t>
    </r>
  </si>
  <si>
    <t>what methodologies are used for threat modeling?</t>
  </si>
  <si>
    <t>No use of any methodologies or no analysis</t>
  </si>
  <si>
    <t>Standard methodologies for example:data flow analysis, STRIDE, attack trees, trust boundaries definition, etc.</t>
  </si>
  <si>
    <t>Standard and custom methodologies that takes into account specific system threats</t>
  </si>
  <si>
    <t>Feature Categoty</t>
  </si>
  <si>
    <t>granularity and level of abstraction</t>
  </si>
  <si>
    <t>what granularity and level of abstraction are the system analyzed at?</t>
  </si>
  <si>
    <t>No analysis at all</t>
  </si>
  <si>
    <t>Mostly high level of abstraction, for example Data Flow Diagrams and high level architecture and system views</t>
  </si>
  <si>
    <t>Mostly high and Medium level of abstraction, for example single processes and their communications, microservices, 
                individual storage of sensitive information detailed</t>
  </si>
  <si>
    <t>Both high level and single features level (single API endpoints, sequence diagrams, feature abuse cases)</t>
  </si>
  <si>
    <t>threat model scalability and composability</t>
  </si>
  <si>
    <t>How scalable are the threat models?</t>
  </si>
  <si>
    <t>every threat model is logically not compatible with the others threat models</t>
  </si>
  <si>
    <t>bigger systems are divided into multiple threat models and there is clear boundaries among them and assets definition consistency</t>
  </si>
  <si>
    <t>Staff enablement</t>
  </si>
  <si>
    <t>Security expertise availability (SME/training/sec champions)</t>
  </si>
  <si>
    <t>what security expertise is available to perform threat modeling?</t>
  </si>
  <si>
    <t>security expertise for threat modeling mostly unavailable and difficult to find in the organization</t>
  </si>
  <si>
    <t>there are SMEs for ad-hoc threat modeling</t>
  </si>
  <si>
    <t>there are SMEs for ad-hoc threat modeling and training available</t>
  </si>
  <si>
    <t>there are SMEs and consistent training (for example security champions)</t>
  </si>
  <si>
    <t>Measurements and metrics</t>
  </si>
  <si>
    <t>threat modeling metrics</t>
  </si>
  <si>
    <t>what metrics the TM process produces?</t>
  </si>
  <si>
    <t>no metrics</t>
  </si>
  <si>
    <t>TM completion for every system that needs analysis</t>
  </si>
  <si>
    <t>TM outcomes contributes to the overall system risk management/evaluation</t>
  </si>
  <si>
    <t>Threat model lifecycle and capabilities</t>
  </si>
  <si>
    <r>
      <t>threat model storage, format, template and tracking</t>
    </r>
    <r>
      <rPr>
        <sz val="12"/>
        <color rgb="FFD4D4D4"/>
        <rFont val="Menlo"/>
        <family val="2"/>
      </rPr>
      <t xml:space="preserve"> </t>
    </r>
  </si>
  <si>
    <t>how are TM stored and accessible?</t>
  </si>
  <si>
    <t>not defined, and no consistent way to retrieve threat models</t>
  </si>
  <si>
    <t>standard storage location is defined and enforced</t>
  </si>
  <si>
    <t>TM are stored and versioned using compliant tools and access control</t>
  </si>
  <si>
    <t>what file format and template are threat models on?</t>
  </si>
  <si>
    <t>not defined</t>
  </si>
  <si>
    <t>standard format and templates available but not used in most threat models</t>
  </si>
  <si>
    <t>standard format and templates available and used in most threat models</t>
  </si>
  <si>
    <t>issue tracking/gates</t>
  </si>
  <si>
    <t>how TM outcomes and security issue management are related?</t>
  </si>
  <si>
    <t>on ad-hoc basis and not consistently TM findings are added to the issue tracking system</t>
  </si>
  <si>
    <t>TM outcomes are part of the security issue bucket and prioritized</t>
  </si>
  <si>
    <t>how TM analysis and its outcomes impact the release condition and gates?</t>
  </si>
  <si>
    <t>TM practices do not affect releases status</t>
  </si>
  <si>
    <t>on ad-hoc basis and not consistently TM findings are affecting releases status</t>
  </si>
  <si>
    <t>TM analysis and outcomes are part of the release gating capabilities</t>
  </si>
  <si>
    <t>Feature Category</t>
  </si>
  <si>
    <t xml:space="preserve">bigger systems are divided into multiple threat models but there is not clear boundaries among them and assets and scope definition consistency </t>
  </si>
  <si>
    <t>Overall Maturity</t>
  </si>
  <si>
    <t>Maturity 0 - 3</t>
  </si>
  <si>
    <t xml:space="preserve">threat model storage, format, template and tracking </t>
  </si>
  <si>
    <r>
      <t>methodology and analysis consistency</t>
    </r>
    <r>
      <rPr>
        <sz val="11"/>
        <color theme="1"/>
        <rFont val="Menlo"/>
        <family val="2"/>
      </rPr>
      <t xml:space="preserve"> </t>
    </r>
  </si>
  <si>
    <t>Phase1</t>
  </si>
  <si>
    <t>Phase2</t>
  </si>
  <si>
    <t>Phase</t>
  </si>
  <si>
    <t>Current</t>
  </si>
  <si>
    <t>Maturity</t>
  </si>
  <si>
    <t>Sum of Maturity</t>
  </si>
  <si>
    <t>Row Labels</t>
  </si>
  <si>
    <t>Grand Total</t>
  </si>
  <si>
    <t>Column Labels</t>
  </si>
  <si>
    <t>reverted to 0</t>
  </si>
  <si>
    <t>notes</t>
  </si>
  <si>
    <t>* trying to align to the cadence of the review 
* try to align with the design process to achieve this</t>
  </si>
  <si>
    <t>* close to define the process woth Omar and security 
objectives to review every and ereference 
every signle design</t>
  </si>
  <si>
    <t>sec objectives 
checklist and operational guides</t>
  </si>
  <si>
    <t>Aim at being better!</t>
  </si>
  <si>
    <t>init 2022</t>
  </si>
  <si>
    <t>Average of Maturity</t>
  </si>
  <si>
    <t>Phase1 - 2023</t>
  </si>
  <si>
    <t>Phase2 - 2024</t>
  </si>
  <si>
    <t>Phase1 -2023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</si>
</sst>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D4D4D4"/>
      <name val="Menlo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enlo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3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1" fillId="7" borderId="0" xfId="0" applyFont="1" applyFill="1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9" borderId="1" xfId="0" applyFont="1" applyFill="1" applyBorder="1"/>
    <xf numFmtId="0" fontId="1" fillId="9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Feature category Maturity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'initial - circa 2022'!$A$21:$A$25</c:f>
              <c:strCache>
                <c:ptCount val="5"/>
                <c:pt idx="0">
                  <c:v>Process integration</c:v>
                </c:pt>
                <c:pt idx="1">
                  <c:v>Methodology &amp;​ granularity</c:v>
                </c:pt>
                <c:pt idx="2">
                  <c:v>Staff enablement</c:v>
                </c:pt>
                <c:pt idx="3">
                  <c:v>Measurements and metrics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'initial - circa 2022'!$B$21:$B$25</c:f>
              <c:numCache>
                <c:formatCode>General</c:formatCode>
                <c:ptCount val="5"/>
                <c:pt idx="0">
                  <c:v>0.33</c:v>
                </c:pt>
                <c:pt idx="1">
                  <c:v>1.1600000000000001</c:v>
                </c:pt>
                <c:pt idx="2">
                  <c:v>1.1600000000000001</c:v>
                </c:pt>
                <c:pt idx="3">
                  <c:v>0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6-374D-8D71-4BB328AB0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906079"/>
        <c:axId val="1579334287"/>
      </c:barChart>
      <c:catAx>
        <c:axId val="15799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34287"/>
        <c:crosses val="autoZero"/>
        <c:auto val="1"/>
        <c:lblAlgn val="ctr"/>
        <c:lblOffset val="100"/>
        <c:noMultiLvlLbl val="0"/>
      </c:catAx>
      <c:valAx>
        <c:axId val="157933428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0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Feature category Maturity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'initial - circa 2022'!$A$21:$A$25</c:f>
              <c:strCache>
                <c:ptCount val="5"/>
                <c:pt idx="0">
                  <c:v>Process integration</c:v>
                </c:pt>
                <c:pt idx="1">
                  <c:v>Methodology &amp;​ granularity</c:v>
                </c:pt>
                <c:pt idx="2">
                  <c:v>Staff enablement</c:v>
                </c:pt>
                <c:pt idx="3">
                  <c:v>Measurements and metrics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'initial - circa 2022'!$B$21:$B$25</c:f>
              <c:numCache>
                <c:formatCode>General</c:formatCode>
                <c:ptCount val="5"/>
                <c:pt idx="0">
                  <c:v>0.33</c:v>
                </c:pt>
                <c:pt idx="1">
                  <c:v>1.1600000000000001</c:v>
                </c:pt>
                <c:pt idx="2">
                  <c:v>1.1600000000000001</c:v>
                </c:pt>
                <c:pt idx="3">
                  <c:v>0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1-CF49-AECC-0F6E69F00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722095"/>
        <c:axId val="1597440143"/>
      </c:radarChart>
      <c:catAx>
        <c:axId val="158272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440143"/>
        <c:crosses val="autoZero"/>
        <c:auto val="1"/>
        <c:lblAlgn val="ctr"/>
        <c:lblOffset val="100"/>
        <c:noMultiLvlLbl val="0"/>
      </c:catAx>
      <c:valAx>
        <c:axId val="1597440143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2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Feature category Maturity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'phase 1 - 2023'!$A$21:$A$25</c:f>
              <c:strCache>
                <c:ptCount val="5"/>
                <c:pt idx="0">
                  <c:v>Process integration</c:v>
                </c:pt>
                <c:pt idx="1">
                  <c:v>Methodology &amp;​ granularity</c:v>
                </c:pt>
                <c:pt idx="2">
                  <c:v>Staff enablement</c:v>
                </c:pt>
                <c:pt idx="3">
                  <c:v>Measurements and metrics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'phase 1 - 2023'!$B$21:$B$25</c:f>
              <c:numCache>
                <c:formatCode>General</c:formatCode>
                <c:ptCount val="5"/>
                <c:pt idx="0">
                  <c:v>1.6500000000000001</c:v>
                </c:pt>
                <c:pt idx="1">
                  <c:v>2.41</c:v>
                </c:pt>
                <c:pt idx="2">
                  <c:v>1.7399999999999998</c:v>
                </c:pt>
                <c:pt idx="3">
                  <c:v>1.5</c:v>
                </c:pt>
                <c:pt idx="4">
                  <c:v>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6-724D-B27A-506BD74A3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906079"/>
        <c:axId val="1579334287"/>
      </c:barChart>
      <c:catAx>
        <c:axId val="15799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34287"/>
        <c:crosses val="autoZero"/>
        <c:auto val="1"/>
        <c:lblAlgn val="ctr"/>
        <c:lblOffset val="100"/>
        <c:noMultiLvlLbl val="0"/>
      </c:catAx>
      <c:valAx>
        <c:axId val="157933428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0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Feature category Maturity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'phase 1 - 2023'!$A$21:$A$25</c:f>
              <c:strCache>
                <c:ptCount val="5"/>
                <c:pt idx="0">
                  <c:v>Process integration</c:v>
                </c:pt>
                <c:pt idx="1">
                  <c:v>Methodology &amp;​ granularity</c:v>
                </c:pt>
                <c:pt idx="2">
                  <c:v>Staff enablement</c:v>
                </c:pt>
                <c:pt idx="3">
                  <c:v>Measurements and metrics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'phase 1 - 2023'!$B$21:$B$25</c:f>
              <c:numCache>
                <c:formatCode>General</c:formatCode>
                <c:ptCount val="5"/>
                <c:pt idx="0">
                  <c:v>1.6500000000000001</c:v>
                </c:pt>
                <c:pt idx="1">
                  <c:v>2.41</c:v>
                </c:pt>
                <c:pt idx="2">
                  <c:v>1.7399999999999998</c:v>
                </c:pt>
                <c:pt idx="3">
                  <c:v>1.5</c:v>
                </c:pt>
                <c:pt idx="4">
                  <c:v>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6-CD45-877C-D626FDF01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722095"/>
        <c:axId val="1597440143"/>
      </c:radarChart>
      <c:catAx>
        <c:axId val="158272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440143"/>
        <c:crosses val="autoZero"/>
        <c:auto val="1"/>
        <c:lblAlgn val="ctr"/>
        <c:lblOffset val="100"/>
        <c:noMultiLvlLbl val="0"/>
      </c:catAx>
      <c:valAx>
        <c:axId val="1597440143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2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Feature category Maturity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'phase 2 - 2024'!$A$21:$A$25</c:f>
              <c:strCache>
                <c:ptCount val="5"/>
                <c:pt idx="0">
                  <c:v>Process integration</c:v>
                </c:pt>
                <c:pt idx="1">
                  <c:v>Methodology &amp;​ granularity</c:v>
                </c:pt>
                <c:pt idx="2">
                  <c:v>Staff enablement</c:v>
                </c:pt>
                <c:pt idx="3">
                  <c:v>Measurements and metrics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'phase 2 - 2024'!$B$21:$B$25</c:f>
              <c:numCache>
                <c:formatCode>General</c:formatCode>
                <c:ptCount val="5"/>
                <c:pt idx="0">
                  <c:v>2.66</c:v>
                </c:pt>
                <c:pt idx="1">
                  <c:v>2.75</c:v>
                </c:pt>
                <c:pt idx="2">
                  <c:v>2.41</c:v>
                </c:pt>
                <c:pt idx="3">
                  <c:v>1.5</c:v>
                </c:pt>
                <c:pt idx="4">
                  <c:v>2.625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1-4C40-9BFF-A6477BBCF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906079"/>
        <c:axId val="1579334287"/>
      </c:barChart>
      <c:catAx>
        <c:axId val="15799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34287"/>
        <c:crosses val="autoZero"/>
        <c:auto val="1"/>
        <c:lblAlgn val="ctr"/>
        <c:lblOffset val="100"/>
        <c:noMultiLvlLbl val="0"/>
      </c:catAx>
      <c:valAx>
        <c:axId val="157933428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0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Feature category Maturity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'phase 2 - 2024'!$A$21:$A$25</c:f>
              <c:strCache>
                <c:ptCount val="5"/>
                <c:pt idx="0">
                  <c:v>Process integration</c:v>
                </c:pt>
                <c:pt idx="1">
                  <c:v>Methodology &amp;​ granularity</c:v>
                </c:pt>
                <c:pt idx="2">
                  <c:v>Staff enablement</c:v>
                </c:pt>
                <c:pt idx="3">
                  <c:v>Measurements and metrics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'phase 2 - 2024'!$B$21:$B$25</c:f>
              <c:numCache>
                <c:formatCode>General</c:formatCode>
                <c:ptCount val="5"/>
                <c:pt idx="0">
                  <c:v>2.66</c:v>
                </c:pt>
                <c:pt idx="1">
                  <c:v>2.75</c:v>
                </c:pt>
                <c:pt idx="2">
                  <c:v>2.41</c:v>
                </c:pt>
                <c:pt idx="3">
                  <c:v>1.5</c:v>
                </c:pt>
                <c:pt idx="4">
                  <c:v>2.625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5-204C-A7AA-9D85D143B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722095"/>
        <c:axId val="1597440143"/>
      </c:radarChart>
      <c:catAx>
        <c:axId val="158272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440143"/>
        <c:crosses val="autoZero"/>
        <c:auto val="1"/>
        <c:lblAlgn val="ctr"/>
        <c:lblOffset val="100"/>
        <c:noMultiLvlLbl val="0"/>
      </c:catAx>
      <c:valAx>
        <c:axId val="1597440143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2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[TMMAturityInterview.xlsx]pivot!PivotTable1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pivot!$B$1:$B$2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pivot!$A$3:$A$8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pivot!$B$3:$B$8</c:f>
              <c:numCache>
                <c:formatCode>General</c:formatCode>
                <c:ptCount val="5"/>
                <c:pt idx="0">
                  <c:v>0</c:v>
                </c:pt>
                <c:pt idx="1">
                  <c:v>1.1600000000000001</c:v>
                </c:pt>
                <c:pt idx="2">
                  <c:v>0.33</c:v>
                </c:pt>
                <c:pt idx="3">
                  <c:v>1.1600000000000001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F-E449-87EB-B20069EC1725}"/>
            </c:ext>
          </c:extLst>
        </c:ser>
        <c:ser>
          <c:idx val="1"/>
          <c:order val="1"/>
          <c:tx>
            <c:strRef>
              <c:f>pivot!$C$1:$C$2</c:f>
              <c:strCache>
                <c:ptCount val="1"/>
                <c:pt idx="0">
                  <c:v>Phase1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pivot!$A$3:$A$8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pivot!$C$3:$C$8</c:f>
              <c:numCache>
                <c:formatCode>General</c:formatCode>
                <c:ptCount val="5"/>
                <c:pt idx="0">
                  <c:v>1.5</c:v>
                </c:pt>
                <c:pt idx="1">
                  <c:v>2.41</c:v>
                </c:pt>
                <c:pt idx="2">
                  <c:v>1.6500000000000001</c:v>
                </c:pt>
                <c:pt idx="3">
                  <c:v>1.7399999999999998</c:v>
                </c:pt>
                <c:pt idx="4">
                  <c:v>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7F-E449-87EB-B20069EC1725}"/>
            </c:ext>
          </c:extLst>
        </c:ser>
        <c:ser>
          <c:idx val="2"/>
          <c:order val="2"/>
          <c:tx>
            <c:strRef>
              <c:f>pivot!$D$1:$D$2</c:f>
              <c:strCache>
                <c:ptCount val="1"/>
                <c:pt idx="0">
                  <c:v>Phase2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pivot!$A$3:$A$8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pivot!$D$3:$D$8</c:f>
              <c:numCache>
                <c:formatCode>General</c:formatCode>
                <c:ptCount val="5"/>
                <c:pt idx="0">
                  <c:v>3</c:v>
                </c:pt>
                <c:pt idx="1">
                  <c:v>2.75</c:v>
                </c:pt>
                <c:pt idx="2">
                  <c:v>2.66</c:v>
                </c:pt>
                <c:pt idx="3">
                  <c:v>2.41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7F-E449-87EB-B20069EC1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827711"/>
        <c:axId val="891829359"/>
      </c:barChart>
      <c:catAx>
        <c:axId val="89182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829359"/>
        <c:crosses val="autoZero"/>
        <c:auto val="1"/>
        <c:lblAlgn val="ctr"/>
        <c:lblOffset val="100"/>
        <c:noMultiLvlLbl val="0"/>
      </c:catAx>
      <c:valAx>
        <c:axId val="89182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82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[TMMAturityInterview.xlsx]pivot!PivotTable1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alpha val="26000"/>
            </a:schemeClr>
          </a:solidFill>
          <a:ln>
            <a:solidFill>
              <a:schemeClr val="accent1"/>
            </a:solidFill>
          </a:ln>
          <a:effectLst>
            <a:outerShdw blurRad="50800" dist="50800" dir="5400000" algn="ctr" rotWithShape="0">
              <a:srgbClr val="000000">
                <a:alpha val="47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filled"/>
        <c:varyColors val="0"/>
        <c:ser>
          <c:idx val="0"/>
          <c:order val="0"/>
          <c:tx>
            <c:strRef>
              <c:f>pivot!$B$1:$B$2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pivot!$A$3:$A$8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pivot!$B$3:$B$8</c:f>
              <c:numCache>
                <c:formatCode>General</c:formatCode>
                <c:ptCount val="5"/>
                <c:pt idx="0">
                  <c:v>0</c:v>
                </c:pt>
                <c:pt idx="1">
                  <c:v>1.1600000000000001</c:v>
                </c:pt>
                <c:pt idx="2">
                  <c:v>0.33</c:v>
                </c:pt>
                <c:pt idx="3">
                  <c:v>1.1600000000000001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9-5B41-BBB0-DA088390F6A2}"/>
            </c:ext>
          </c:extLst>
        </c:ser>
        <c:ser>
          <c:idx val="1"/>
          <c:order val="1"/>
          <c:tx>
            <c:strRef>
              <c:f>pivot!$C$1:$C$2</c:f>
              <c:strCache>
                <c:ptCount val="1"/>
                <c:pt idx="0">
                  <c:v>Phase1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pivot!$A$3:$A$8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pivot!$C$3:$C$8</c:f>
              <c:numCache>
                <c:formatCode>General</c:formatCode>
                <c:ptCount val="5"/>
                <c:pt idx="0">
                  <c:v>1.5</c:v>
                </c:pt>
                <c:pt idx="1">
                  <c:v>2.41</c:v>
                </c:pt>
                <c:pt idx="2">
                  <c:v>1.6500000000000001</c:v>
                </c:pt>
                <c:pt idx="3">
                  <c:v>1.7399999999999998</c:v>
                </c:pt>
                <c:pt idx="4">
                  <c:v>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9-5B41-BBB0-DA088390F6A2}"/>
            </c:ext>
          </c:extLst>
        </c:ser>
        <c:ser>
          <c:idx val="2"/>
          <c:order val="2"/>
          <c:tx>
            <c:strRef>
              <c:f>pivot!$D$1:$D$2</c:f>
              <c:strCache>
                <c:ptCount val="1"/>
                <c:pt idx="0">
                  <c:v>Phase2</c:v>
                </c:pt>
              </c:strCache>
            </c:strRef>
          </c:tx>
          <c:spPr>
            <a:solidFill>
              <a:schemeClr val="tx1">
                <a:alpha val="26000"/>
              </a:schemeClr>
            </a:solidFill>
            <a:ln>
              <a:solidFill>
                <a:schemeClr val="accent1"/>
              </a:solidFill>
            </a:ln>
            <a:effectLst>
              <a:outerShdw blurRad="50800" dist="50800" dir="5400000" algn="ctr" rotWithShape="0">
                <a:srgbClr val="000000">
                  <a:alpha val="47000"/>
                </a:srgbClr>
              </a:outerShdw>
            </a:effectLst>
          </c:spPr>
          <c:cat>
            <c:strRef>
              <c:f>pivot!$A$3:$A$8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pivot!$D$3:$D$8</c:f>
              <c:numCache>
                <c:formatCode>General</c:formatCode>
                <c:ptCount val="5"/>
                <c:pt idx="0">
                  <c:v>3</c:v>
                </c:pt>
                <c:pt idx="1">
                  <c:v>2.75</c:v>
                </c:pt>
                <c:pt idx="2">
                  <c:v>2.66</c:v>
                </c:pt>
                <c:pt idx="3">
                  <c:v>2.41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E9-5B41-BBB0-DA088390F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513583"/>
        <c:axId val="813516047"/>
      </c:radarChart>
      <c:catAx>
        <c:axId val="81351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16047"/>
        <c:crosses val="autoZero"/>
        <c:auto val="1"/>
        <c:lblAlgn val="ctr"/>
        <c:lblOffset val="100"/>
        <c:noMultiLvlLbl val="0"/>
      </c:catAx>
      <c:valAx>
        <c:axId val="8135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1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[TMMAturityInterview.xlsx]pivot!PivotTable6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pivot!$B$29:$B$30</c:f>
              <c:strCache>
                <c:ptCount val="1"/>
                <c:pt idx="0">
                  <c:v>init 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pivot!$A$31:$A$36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pivot!$B$31:$B$36</c:f>
              <c:numCache>
                <c:formatCode>General</c:formatCode>
                <c:ptCount val="5"/>
                <c:pt idx="0">
                  <c:v>0</c:v>
                </c:pt>
                <c:pt idx="1">
                  <c:v>1.1600000000000001</c:v>
                </c:pt>
                <c:pt idx="2">
                  <c:v>0.33</c:v>
                </c:pt>
                <c:pt idx="3">
                  <c:v>1.1600000000000001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5-C345-B209-3D175B5ADE09}"/>
            </c:ext>
          </c:extLst>
        </c:ser>
        <c:ser>
          <c:idx val="1"/>
          <c:order val="1"/>
          <c:tx>
            <c:strRef>
              <c:f>pivot!$C$29:$C$30</c:f>
              <c:strCache>
                <c:ptCount val="1"/>
                <c:pt idx="0">
                  <c:v>Phase1 - 2023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pivot!$A$31:$A$36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pivot!$C$31:$C$36</c:f>
              <c:numCache>
                <c:formatCode>General</c:formatCode>
                <c:ptCount val="5"/>
                <c:pt idx="0">
                  <c:v>1.5</c:v>
                </c:pt>
                <c:pt idx="1">
                  <c:v>2.41</c:v>
                </c:pt>
                <c:pt idx="2">
                  <c:v>1.6500000000000001</c:v>
                </c:pt>
                <c:pt idx="3">
                  <c:v>1.7399999999999998</c:v>
                </c:pt>
                <c:pt idx="4">
                  <c:v>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15-C345-B209-3D175B5ADE09}"/>
            </c:ext>
          </c:extLst>
        </c:ser>
        <c:ser>
          <c:idx val="2"/>
          <c:order val="2"/>
          <c:tx>
            <c:strRef>
              <c:f>pivot!$D$29:$D$30</c:f>
              <c:strCache>
                <c:ptCount val="1"/>
                <c:pt idx="0">
                  <c:v>Phase2 - 2024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pivot!$A$31:$A$36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pivot!$D$31:$D$36</c:f>
              <c:numCache>
                <c:formatCode>General</c:formatCode>
                <c:ptCount val="5"/>
                <c:pt idx="0">
                  <c:v>1.5</c:v>
                </c:pt>
                <c:pt idx="1">
                  <c:v>2.75</c:v>
                </c:pt>
                <c:pt idx="2">
                  <c:v>2.66</c:v>
                </c:pt>
                <c:pt idx="3">
                  <c:v>2.41</c:v>
                </c:pt>
                <c:pt idx="4">
                  <c:v>2.625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15-C345-B209-3D175B5AD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386463"/>
        <c:axId val="513388191"/>
      </c:barChart>
      <c:catAx>
        <c:axId val="51338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88191"/>
        <c:crosses val="autoZero"/>
        <c:auto val="1"/>
        <c:lblAlgn val="ctr"/>
        <c:lblOffset val="100"/>
        <c:noMultiLvlLbl val="0"/>
      </c:catAx>
      <c:valAx>
        <c:axId val="51338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8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[TMMAturityInterview.xlsx]pivot!PivotTable6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Threat Modeling Roadmap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pivot!$B$29:$B$30</c:f>
              <c:strCache>
                <c:ptCount val="1"/>
                <c:pt idx="0">
                  <c:v>init 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pivot!$A$31:$A$36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pivot!$B$31:$B$36</c:f>
              <c:numCache>
                <c:formatCode>General</c:formatCode>
                <c:ptCount val="5"/>
                <c:pt idx="0">
                  <c:v>0</c:v>
                </c:pt>
                <c:pt idx="1">
                  <c:v>1.1600000000000001</c:v>
                </c:pt>
                <c:pt idx="2">
                  <c:v>0.33</c:v>
                </c:pt>
                <c:pt idx="3">
                  <c:v>1.1600000000000001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C-FC43-91B1-8FEDC541373C}"/>
            </c:ext>
          </c:extLst>
        </c:ser>
        <c:ser>
          <c:idx val="1"/>
          <c:order val="1"/>
          <c:tx>
            <c:strRef>
              <c:f>pivot!$C$29:$C$30</c:f>
              <c:strCache>
                <c:ptCount val="1"/>
                <c:pt idx="0">
                  <c:v>Phase1 - 2023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pivot!$A$31:$A$36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pivot!$C$31:$C$36</c:f>
              <c:numCache>
                <c:formatCode>General</c:formatCode>
                <c:ptCount val="5"/>
                <c:pt idx="0">
                  <c:v>1.5</c:v>
                </c:pt>
                <c:pt idx="1">
                  <c:v>2.41</c:v>
                </c:pt>
                <c:pt idx="2">
                  <c:v>1.6500000000000001</c:v>
                </c:pt>
                <c:pt idx="3">
                  <c:v>1.7399999999999998</c:v>
                </c:pt>
                <c:pt idx="4">
                  <c:v>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7C-FC43-91B1-8FEDC541373C}"/>
            </c:ext>
          </c:extLst>
        </c:ser>
        <c:ser>
          <c:idx val="2"/>
          <c:order val="2"/>
          <c:tx>
            <c:strRef>
              <c:f>pivot!$D$29:$D$30</c:f>
              <c:strCache>
                <c:ptCount val="1"/>
                <c:pt idx="0">
                  <c:v>Phase2 - 2024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pivot!$A$31:$A$36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pivot!$D$31:$D$36</c:f>
              <c:numCache>
                <c:formatCode>General</c:formatCode>
                <c:ptCount val="5"/>
                <c:pt idx="0">
                  <c:v>1.5</c:v>
                </c:pt>
                <c:pt idx="1">
                  <c:v>2.75</c:v>
                </c:pt>
                <c:pt idx="2">
                  <c:v>2.66</c:v>
                </c:pt>
                <c:pt idx="3">
                  <c:v>2.41</c:v>
                </c:pt>
                <c:pt idx="4">
                  <c:v>2.625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7C-FC43-91B1-8FEDC5413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83439"/>
        <c:axId val="185059407"/>
      </c:radarChart>
      <c:catAx>
        <c:axId val="18518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59407"/>
        <c:crosses val="autoZero"/>
        <c:auto val="1"/>
        <c:lblAlgn val="ctr"/>
        <c:lblOffset val="100"/>
        <c:noMultiLvlLbl val="0"/>
      </c:catAx>
      <c:valAx>
        <c:axId val="18505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Threat Modeling Maturity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32-984A-BA90-371AA5D3BD61}"/>
              </c:ext>
            </c:extLst>
          </c:dPt>
          <c:cat>
            <c:strRef>
              <c:f>pivot!$A$59:$A$61</c:f>
              <c:strCache>
                <c:ptCount val="3"/>
                <c:pt idx="0">
                  <c:v>init 2022</c:v>
                </c:pt>
                <c:pt idx="1">
                  <c:v>Phase1 -2023</c:v>
                </c:pt>
                <c:pt idx="2">
                  <c:v>Phase2 - 2024</c:v>
                </c:pt>
              </c:strCache>
            </c:strRef>
          </c:cat>
          <c:val>
            <c:numRef>
              <c:f>pivot!$B$59:$B$61</c:f>
              <c:numCache>
                <c:formatCode>General</c:formatCode>
                <c:ptCount val="3"/>
                <c:pt idx="0">
                  <c:v>0.60500000000000009</c:v>
                </c:pt>
                <c:pt idx="1">
                  <c:v>1.7840000000000003</c:v>
                </c:pt>
                <c:pt idx="2">
                  <c:v>2.3890000000000002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2-984A-BA90-371AA5D3B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368640"/>
        <c:axId val="431594592"/>
      </c:barChart>
      <c:catAx>
        <c:axId val="43136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594592"/>
        <c:crosses val="autoZero"/>
        <c:auto val="1"/>
        <c:lblAlgn val="ctr"/>
        <c:lblOffset val="100"/>
        <c:noMultiLvlLbl val="0"/>
      </c:catAx>
      <c:valAx>
        <c:axId val="4315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36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[TMMAturityInterview.xlsx]pivot!PivotTable1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pivot!$B$1:$B$2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pivot!$A$3:$A$8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pivot!$B$3:$B$8</c:f>
              <c:numCache>
                <c:formatCode>General</c:formatCode>
                <c:ptCount val="5"/>
                <c:pt idx="0">
                  <c:v>0</c:v>
                </c:pt>
                <c:pt idx="1">
                  <c:v>1.1600000000000001</c:v>
                </c:pt>
                <c:pt idx="2">
                  <c:v>0.33</c:v>
                </c:pt>
                <c:pt idx="3">
                  <c:v>1.1600000000000001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B-1845-BFEC-162CCADCF0F4}"/>
            </c:ext>
          </c:extLst>
        </c:ser>
        <c:ser>
          <c:idx val="1"/>
          <c:order val="1"/>
          <c:tx>
            <c:strRef>
              <c:f>pivot!$C$1:$C$2</c:f>
              <c:strCache>
                <c:ptCount val="1"/>
                <c:pt idx="0">
                  <c:v>Phase1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pivot!$A$3:$A$8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pivot!$C$3:$C$8</c:f>
              <c:numCache>
                <c:formatCode>General</c:formatCode>
                <c:ptCount val="5"/>
                <c:pt idx="0">
                  <c:v>1.5</c:v>
                </c:pt>
                <c:pt idx="1">
                  <c:v>2.41</c:v>
                </c:pt>
                <c:pt idx="2">
                  <c:v>1.6500000000000001</c:v>
                </c:pt>
                <c:pt idx="3">
                  <c:v>1.7399999999999998</c:v>
                </c:pt>
                <c:pt idx="4">
                  <c:v>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B-1845-BFEC-162CCADCF0F4}"/>
            </c:ext>
          </c:extLst>
        </c:ser>
        <c:ser>
          <c:idx val="2"/>
          <c:order val="2"/>
          <c:tx>
            <c:strRef>
              <c:f>pivot!$D$1:$D$2</c:f>
              <c:strCache>
                <c:ptCount val="1"/>
                <c:pt idx="0">
                  <c:v>Phase2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pivot!$A$3:$A$8</c:f>
              <c:strCache>
                <c:ptCount val="5"/>
                <c:pt idx="0">
                  <c:v>Measurements and metrics</c:v>
                </c:pt>
                <c:pt idx="1">
                  <c:v>Methodology &amp;​ granularity</c:v>
                </c:pt>
                <c:pt idx="2">
                  <c:v>Process integration</c:v>
                </c:pt>
                <c:pt idx="3">
                  <c:v>Staff enablement</c:v>
                </c:pt>
                <c:pt idx="4">
                  <c:v>Threat model lifecycle and capabilities</c:v>
                </c:pt>
              </c:strCache>
            </c:strRef>
          </c:cat>
          <c:val>
            <c:numRef>
              <c:f>pivot!$D$3:$D$8</c:f>
              <c:numCache>
                <c:formatCode>General</c:formatCode>
                <c:ptCount val="5"/>
                <c:pt idx="0">
                  <c:v>3</c:v>
                </c:pt>
                <c:pt idx="1">
                  <c:v>2.75</c:v>
                </c:pt>
                <c:pt idx="2">
                  <c:v>2.66</c:v>
                </c:pt>
                <c:pt idx="3">
                  <c:v>2.41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8B-1845-BFEC-162CCADCF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940735"/>
        <c:axId val="809039375"/>
      </c:radarChart>
      <c:catAx>
        <c:axId val="63194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039375"/>
        <c:crosses val="autoZero"/>
        <c:auto val="1"/>
        <c:lblAlgn val="ctr"/>
        <c:lblOffset val="100"/>
        <c:noMultiLvlLbl val="0"/>
      </c:catAx>
      <c:valAx>
        <c:axId val="8090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4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29</xdr:row>
      <xdr:rowOff>76200</xdr:rowOff>
    </xdr:from>
    <xdr:to>
      <xdr:col>1</xdr:col>
      <xdr:colOff>3149600</xdr:colOff>
      <xdr:row>42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2B76EA-C8D3-A971-EF86-EBAB19195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477519</xdr:colOff>
      <xdr:row>19</xdr:row>
      <xdr:rowOff>66039</xdr:rowOff>
    </xdr:from>
    <xdr:to>
      <xdr:col>4</xdr:col>
      <xdr:colOff>496455</xdr:colOff>
      <xdr:row>38</xdr:row>
      <xdr:rowOff>46182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B64D00-C609-D177-6678-4C36968DD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29</xdr:row>
      <xdr:rowOff>76200</xdr:rowOff>
    </xdr:from>
    <xdr:to>
      <xdr:col>1</xdr:col>
      <xdr:colOff>3149600</xdr:colOff>
      <xdr:row>42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CA6B7-93A7-204A-96A9-6C009BBDB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477518</xdr:colOff>
      <xdr:row>19</xdr:row>
      <xdr:rowOff>66039</xdr:rowOff>
    </xdr:from>
    <xdr:to>
      <xdr:col>4</xdr:col>
      <xdr:colOff>796635</xdr:colOff>
      <xdr:row>39</xdr:row>
      <xdr:rowOff>184727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DBE506-1567-584E-8769-F9F3CA6D8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29</xdr:row>
      <xdr:rowOff>76200</xdr:rowOff>
    </xdr:from>
    <xdr:to>
      <xdr:col>1</xdr:col>
      <xdr:colOff>3149600</xdr:colOff>
      <xdr:row>42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70084-3EB9-A345-A30E-E64E2AA65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477519</xdr:colOff>
      <xdr:row>19</xdr:row>
      <xdr:rowOff>66039</xdr:rowOff>
    </xdr:from>
    <xdr:to>
      <xdr:col>4</xdr:col>
      <xdr:colOff>496455</xdr:colOff>
      <xdr:row>38</xdr:row>
      <xdr:rowOff>46182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EDEB76-2378-E647-8E94-B841D9221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812800</xdr:colOff>
      <xdr:row>18</xdr:row>
      <xdr:rowOff>76200</xdr:rowOff>
    </xdr:from>
    <xdr:to>
      <xdr:col>18</xdr:col>
      <xdr:colOff>431800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3B0C3-E365-8232-7A08-72A1870EB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660400</xdr:colOff>
      <xdr:row>6</xdr:row>
      <xdr:rowOff>57150</xdr:rowOff>
    </xdr:from>
    <xdr:to>
      <xdr:col>18</xdr:col>
      <xdr:colOff>279400</xdr:colOff>
      <xdr:row>19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B2AA7C-7441-5A94-377C-F5E117354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</xdr:colOff>
      <xdr:row>36</xdr:row>
      <xdr:rowOff>158750</xdr:rowOff>
    </xdr:from>
    <xdr:to>
      <xdr:col>5</xdr:col>
      <xdr:colOff>457200</xdr:colOff>
      <xdr:row>57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692CD3-5DFF-4B27-13E4-CDC21CD03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742950</xdr:colOff>
      <xdr:row>37</xdr:row>
      <xdr:rowOff>12700</xdr:rowOff>
    </xdr:from>
    <xdr:to>
      <xdr:col>16</xdr:col>
      <xdr:colOff>63500</xdr:colOff>
      <xdr:row>56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A023E0-38BF-DE83-D8D4-8C2298DC8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520700</xdr:colOff>
      <xdr:row>58</xdr:row>
      <xdr:rowOff>158750</xdr:rowOff>
    </xdr:from>
    <xdr:to>
      <xdr:col>11</xdr:col>
      <xdr:colOff>139700</xdr:colOff>
      <xdr:row>72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A3DEA0-EC1E-DBA0-7415-295FE1F53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139700</xdr:rowOff>
    </xdr:from>
    <xdr:to>
      <xdr:col>6</xdr:col>
      <xdr:colOff>685800</xdr:colOff>
      <xdr:row>29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6FA30-A50C-8143-9ABF-98DAC3422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.cervigni/Downloads/SAMM_spread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ribution and License"/>
      <sheetName val="Interview"/>
      <sheetName val="Scorecard"/>
      <sheetName val="Roadmap"/>
      <sheetName val="Roadmap Chart"/>
      <sheetName val="Lookups"/>
      <sheetName val="imp-questions"/>
      <sheetName val="DV-Lists"/>
      <sheetName val="imp-answers"/>
      <sheetName val="Background Ima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M10" t="str">
            <v>No</v>
          </cell>
          <cell r="N10" t="str">
            <v>No</v>
          </cell>
          <cell r="O10" t="str">
            <v>No</v>
          </cell>
          <cell r="P10" t="str">
            <v>No</v>
          </cell>
          <cell r="Q10" t="str">
            <v>No</v>
          </cell>
          <cell r="R10" t="str">
            <v>No</v>
          </cell>
        </row>
        <row r="11">
          <cell r="M11" t="str">
            <v>Yes, some of them</v>
          </cell>
          <cell r="N11" t="str">
            <v>Yes, some of them</v>
          </cell>
          <cell r="O11" t="str">
            <v>Yes, for some applications</v>
          </cell>
          <cell r="P11" t="str">
            <v>Yes, for some applications</v>
          </cell>
          <cell r="Q11" t="str">
            <v>Yes, sporadically</v>
          </cell>
          <cell r="R11" t="str">
            <v>Yes, but review is ad-hoc</v>
          </cell>
        </row>
        <row r="12">
          <cell r="M12" t="str">
            <v>Yes, at least half of them</v>
          </cell>
          <cell r="N12" t="str">
            <v>Yes, at least half of them</v>
          </cell>
          <cell r="O12" t="str">
            <v>Yes, for at least half of the applications</v>
          </cell>
          <cell r="P12" t="str">
            <v>Yes, for at least half of the applications</v>
          </cell>
          <cell r="Q12" t="str">
            <v>Yes, upon change of the application</v>
          </cell>
          <cell r="R12" t="str">
            <v>Yes, we review it at regular times</v>
          </cell>
        </row>
        <row r="13">
          <cell r="M13" t="str">
            <v>Yes, most or all of them</v>
          </cell>
          <cell r="N13" t="str">
            <v>Yes, most or all of them</v>
          </cell>
          <cell r="O13" t="str">
            <v>Yes, for most or all of the applications</v>
          </cell>
          <cell r="P13" t="str">
            <v>Yes, for most or all of the applications</v>
          </cell>
          <cell r="Q13" t="str">
            <v>Yes, at least annually</v>
          </cell>
          <cell r="R13" t="str">
            <v>Yes, we review it at least annually</v>
          </cell>
        </row>
      </sheetData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805.67349710648" createdVersion="8" refreshedVersion="8" minRefreshableVersion="3" recordCount="15" xr:uid="{8484E0C8-6DCE-AC42-B90D-507D7F6499EE}">
  <cacheSource type="worksheet">
    <worksheetSource ref="A20:C26" sheet="reports"/>
  </cacheSource>
  <cacheFields count="3">
    <cacheField name="Phase" numFmtId="0">
      <sharedItems count="3">
        <s v="Current"/>
        <s v="Phase1"/>
        <s v="Phase2"/>
      </sharedItems>
    </cacheField>
    <cacheField name="Feature Category" numFmtId="0">
      <sharedItems count="5">
        <s v="Process integration"/>
        <s v="Methodology &amp;​ granularity"/>
        <s v="Staff enablement"/>
        <s v="Measurements and metrics"/>
        <s v="Threat model lifecycle and capabilities"/>
      </sharedItems>
    </cacheField>
    <cacheField name="Maturity" numFmtId="0">
      <sharedItems containsSemiMixedTypes="0" containsString="0" containsNumb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Cervigni" refreshedDate="45300.516789583337" createdVersion="8" refreshedVersion="8" minRefreshableVersion="3" recordCount="15" xr:uid="{A963D0B1-4278-7F43-9EC2-9870163790CF}">
  <cacheSource type="worksheet">
    <worksheetSource ref="A11:C26" sheet="pivot"/>
  </cacheSource>
  <cacheFields count="3">
    <cacheField name="Phase" numFmtId="0">
      <sharedItems count="8">
        <s v="init 2022"/>
        <s v="Phase1 - 2023"/>
        <s v="Phase2 - 2024"/>
        <s v="Phase2 - 24" u="1"/>
        <s v="Phase1 - 23" u="1"/>
        <s v="Current" u="1"/>
        <s v="Phase1" u="1"/>
        <s v="Phase2" u="1"/>
      </sharedItems>
    </cacheField>
    <cacheField name="Feature Category" numFmtId="0">
      <sharedItems count="5">
        <s v="Process integration"/>
        <s v="Methodology &amp;​ granularity"/>
        <s v="Staff enablement"/>
        <s v="Measurements and metrics"/>
        <s v="Threat model lifecycle and capabilities"/>
      </sharedItems>
    </cacheField>
    <cacheField name="Maturity" numFmtId="0">
      <sharedItems containsSemiMixedTypes="0" containsString="0" containsNumber="1" minValue="0" maxValue="2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0.33"/>
  </r>
  <r>
    <x v="0"/>
    <x v="1"/>
    <n v="1.1600000000000001"/>
  </r>
  <r>
    <x v="0"/>
    <x v="2"/>
    <n v="1.1600000000000001"/>
  </r>
  <r>
    <x v="0"/>
    <x v="3"/>
    <n v="0"/>
  </r>
  <r>
    <x v="0"/>
    <x v="4"/>
    <n v="0.375"/>
  </r>
  <r>
    <x v="1"/>
    <x v="0"/>
    <n v="1.6500000000000001"/>
  </r>
  <r>
    <x v="1"/>
    <x v="1"/>
    <n v="2.41"/>
  </r>
  <r>
    <x v="1"/>
    <x v="2"/>
    <n v="1.7399999999999998"/>
  </r>
  <r>
    <x v="1"/>
    <x v="3"/>
    <n v="1.5"/>
  </r>
  <r>
    <x v="1"/>
    <x v="4"/>
    <n v="2.37"/>
  </r>
  <r>
    <x v="2"/>
    <x v="0"/>
    <n v="2.66"/>
  </r>
  <r>
    <x v="2"/>
    <x v="1"/>
    <n v="2.75"/>
  </r>
  <r>
    <x v="2"/>
    <x v="2"/>
    <n v="2.41"/>
  </r>
  <r>
    <x v="2"/>
    <x v="3"/>
    <n v="3"/>
  </r>
  <r>
    <x v="2"/>
    <x v="4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0.33"/>
  </r>
  <r>
    <x v="0"/>
    <x v="1"/>
    <n v="1.1600000000000001"/>
  </r>
  <r>
    <x v="0"/>
    <x v="2"/>
    <n v="1.1600000000000001"/>
  </r>
  <r>
    <x v="0"/>
    <x v="3"/>
    <n v="0"/>
  </r>
  <r>
    <x v="0"/>
    <x v="4"/>
    <n v="0.375"/>
  </r>
  <r>
    <x v="1"/>
    <x v="0"/>
    <n v="1.6500000000000001"/>
  </r>
  <r>
    <x v="1"/>
    <x v="1"/>
    <n v="2.41"/>
  </r>
  <r>
    <x v="1"/>
    <x v="2"/>
    <n v="1.7399999999999998"/>
  </r>
  <r>
    <x v="1"/>
    <x v="3"/>
    <n v="1.5"/>
  </r>
  <r>
    <x v="1"/>
    <x v="4"/>
    <n v="1.62"/>
  </r>
  <r>
    <x v="2"/>
    <x v="0"/>
    <n v="2.66"/>
  </r>
  <r>
    <x v="2"/>
    <x v="1"/>
    <n v="2.75"/>
  </r>
  <r>
    <x v="2"/>
    <x v="2"/>
    <n v="2.41"/>
  </r>
  <r>
    <x v="2"/>
    <x v="3"/>
    <n v="1.5"/>
  </r>
  <r>
    <x v="2"/>
    <x v="4"/>
    <n v="2.6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CF4FB-0142-B14A-A130-1C0312C7E9F1}" name="PivotTable6" cacheId="1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outline="1" outlineData="1" multipleFieldFilters="0" chartFormat="14">
  <location ref="A29:E36" firstHeaderRow="1" firstDataRow="2" firstDataCol="1"/>
  <pivotFields count="3">
    <pivotField axis="axisCol" showAll="0">
      <items count="9">
        <item m="1" x="5"/>
        <item m="1" x="6"/>
        <item m="1" x="7"/>
        <item x="0"/>
        <item m="1" x="4"/>
        <item m="1" x="3"/>
        <item x="1"/>
        <item x="2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 v="3"/>
    </i>
    <i>
      <x v="6"/>
    </i>
    <i>
      <x v="7"/>
    </i>
    <i t="grand">
      <x/>
    </i>
  </colItems>
  <dataFields count="1">
    <dataField name="Average of Maturity" fld="2" subtotal="average" baseField="0" baseItem="0"/>
  </dataFields>
  <chartFormats count="15">
    <chartFormat chart="1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D72E3-D6E7-E64A-AE7A-85491CF723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E8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Maturity" fld="2" baseField="0" baseItem="0"/>
  </dataFields>
  <chartFormats count="1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46A1-9228-C14C-912A-F35C543F6D6D}">
  <sheetPr codeName="Sheet1"/>
  <dimension ref="A1:I27"/>
  <sheetViews>
    <sheetView topLeftCell="A15" zoomScale="111" zoomScaleNormal="110" workbookViewId="0">
      <selection activeCell="B27" sqref="B27"/>
    </sheetView>
  </sheetViews>
  <sheetFormatPr baseColWidth="10" defaultRowHeight="16" x14ac:dyDescent="0.2"/>
  <cols>
    <col min="1" max="1" width="33.6640625" customWidth="1"/>
    <col min="2" max="2" width="43.6640625" customWidth="1"/>
    <col min="3" max="3" width="8.83203125" customWidth="1"/>
    <col min="4" max="4" width="47.33203125" customWidth="1"/>
    <col min="5" max="5" width="46.33203125" customWidth="1"/>
    <col min="6" max="6" width="8.33203125" bestFit="1" customWidth="1"/>
    <col min="9" max="9" width="16.6640625" customWidth="1"/>
  </cols>
  <sheetData>
    <row r="1" spans="1:9" s="1" customFormat="1" ht="27" customHeight="1" x14ac:dyDescent="0.2">
      <c r="A1" s="7" t="s">
        <v>87</v>
      </c>
      <c r="B1" s="7" t="s">
        <v>31</v>
      </c>
      <c r="C1" s="7" t="s">
        <v>1</v>
      </c>
      <c r="D1" s="7" t="s">
        <v>32</v>
      </c>
      <c r="E1" s="7" t="s">
        <v>0</v>
      </c>
    </row>
    <row r="2" spans="1:9" ht="46" customHeight="1" x14ac:dyDescent="0.2">
      <c r="A2" s="8" t="str">
        <f>lookup!A2</f>
        <v>Process integration</v>
      </c>
      <c r="B2" s="2" t="str">
        <f>lookup!B2</f>
        <v>maintenance and review frequency</v>
      </c>
      <c r="C2" s="2" t="str">
        <f>lookup!C2</f>
        <v>QFPI1.1</v>
      </c>
      <c r="D2" s="2" t="str">
        <f>_xlfn.XLOOKUP('initial - circa 2022'!C2,lookup!C2:C44,lookup!D2:D44,FALSE)</f>
        <v>How often the threat models are reviewed and maintained?</v>
      </c>
      <c r="E2" s="13" t="s">
        <v>7</v>
      </c>
      <c r="F2">
        <f>_xlfn.XLOOKUP(E2,lookup!E2:E5,lookup!F2:F5,FALSE)</f>
        <v>0</v>
      </c>
      <c r="H2" s="1"/>
      <c r="I2" s="1"/>
    </row>
    <row r="3" spans="1:9" ht="46" customHeight="1" x14ac:dyDescent="0.2">
      <c r="A3" s="8"/>
      <c r="B3" s="2" t="str">
        <f>lookup!B6</f>
        <v>Threat Modeling process engagement</v>
      </c>
      <c r="C3" s="2" t="str">
        <f>lookup!C6</f>
        <v>QFPI2.1</v>
      </c>
      <c r="D3" s="2" t="str">
        <f>_xlfn.XLOOKUP('initial - circa 2022'!C3,lookup!C3:C45,lookup!D3:D45,FALSE)</f>
        <v>On what occasions TM is performed during SSDL?</v>
      </c>
      <c r="E3" s="13" t="s">
        <v>27</v>
      </c>
      <c r="F3">
        <f>_xlfn.XLOOKUP(E3,lookup!E6:E9,lookup!F6:F9,FALSE)</f>
        <v>0.33</v>
      </c>
    </row>
    <row r="4" spans="1:9" ht="89" customHeight="1" x14ac:dyDescent="0.2">
      <c r="A4" s="8"/>
      <c r="B4" s="2" t="str">
        <f>lookup!B10</f>
        <v>SSDL and TM features synergies</v>
      </c>
      <c r="C4" s="2" t="str">
        <f>lookup!C10</f>
        <v>QFPI3.1</v>
      </c>
      <c r="D4" s="2" t="str">
        <f>_xlfn.XLOOKUP('initial - circa 2022'!C4,lookup!C4:C46,lookup!D4:D46,FALSE)</f>
        <v>How current threat modeling enables and improves other aspects of security and development?</v>
      </c>
      <c r="E4" s="13" t="s">
        <v>35</v>
      </c>
      <c r="F4">
        <f>_xlfn.XLOOKUP(E4,lookup!E10:E13,lookup!F10:F13,FALSE)</f>
        <v>0</v>
      </c>
    </row>
    <row r="5" spans="1:9" ht="46" customHeight="1" x14ac:dyDescent="0.2">
      <c r="A5" s="9" t="s">
        <v>38</v>
      </c>
      <c r="B5" s="3" t="s">
        <v>40</v>
      </c>
      <c r="C5" s="3" t="s">
        <v>15</v>
      </c>
      <c r="D5" s="3" t="str">
        <f>_xlfn.XLOOKUP('initial - circa 2022'!C5,lookup!C5:C47,lookup!D5:D47,FALSE)</f>
        <v>what methodologies are used for threat modeling?</v>
      </c>
      <c r="E5" s="13" t="s">
        <v>43</v>
      </c>
      <c r="F5">
        <f>_xlfn.XLOOKUP(E5,lookup!E14:E16,lookup!F14:F16,FALSE)</f>
        <v>0.66</v>
      </c>
    </row>
    <row r="6" spans="1:9" ht="88" customHeight="1" x14ac:dyDescent="0.2">
      <c r="A6" s="9"/>
      <c r="B6" s="3" t="s">
        <v>46</v>
      </c>
      <c r="C6" s="3" t="s">
        <v>16</v>
      </c>
      <c r="D6" s="3" t="str">
        <f>_xlfn.XLOOKUP('initial - circa 2022'!C6,lookup!C6:C48,lookup!D6:D48,FALSE)</f>
        <v>what granularity and level of abstraction are the system analyzed at?</v>
      </c>
      <c r="E6" s="13" t="s">
        <v>49</v>
      </c>
      <c r="F6">
        <f>_xlfn.XLOOKUP(E6,lookup!E17:E20,lookup!F17:F20,0)</f>
        <v>0.5</v>
      </c>
    </row>
    <row r="7" spans="1:9" ht="46" customHeight="1" x14ac:dyDescent="0.2">
      <c r="A7" s="9"/>
      <c r="B7" s="3" t="s">
        <v>52</v>
      </c>
      <c r="C7" s="3" t="s">
        <v>17</v>
      </c>
      <c r="D7" s="3" t="str">
        <f>_xlfn.XLOOKUP('initial - circa 2022'!C7,lookup!C7:C49,lookup!D7:D49,FALSE)</f>
        <v>How scalable are the threat models?</v>
      </c>
      <c r="E7" s="13" t="s">
        <v>54</v>
      </c>
      <c r="F7">
        <f>_xlfn.XLOOKUP(E7,lookup!E21:E23,lookup!F21:F23,0)</f>
        <v>0</v>
      </c>
    </row>
    <row r="8" spans="1:9" ht="46" customHeight="1" x14ac:dyDescent="0.2">
      <c r="A8" s="10" t="s">
        <v>56</v>
      </c>
      <c r="B8" s="4" t="s">
        <v>57</v>
      </c>
      <c r="C8" s="4" t="s">
        <v>18</v>
      </c>
      <c r="D8" s="4" t="str">
        <f>_xlfn.XLOOKUP('initial - circa 2022'!C8,lookup!C8:C50,lookup!D8:D50,FALSE)</f>
        <v>what security expertise is available to perform threat modeling?</v>
      </c>
      <c r="E8" s="13" t="s">
        <v>60</v>
      </c>
      <c r="F8">
        <f>_xlfn.XLOOKUP(E8,lookup!E24:E27,lookup!F24:F27,0)</f>
        <v>0.33</v>
      </c>
    </row>
    <row r="9" spans="1:9" ht="46" customHeight="1" x14ac:dyDescent="0.2">
      <c r="A9" s="11" t="s">
        <v>63</v>
      </c>
      <c r="B9" s="5" t="s">
        <v>64</v>
      </c>
      <c r="C9" s="5" t="s">
        <v>19</v>
      </c>
      <c r="D9" s="5" t="str">
        <f>_xlfn.XLOOKUP('initial - circa 2022'!C9,lookup!C9:C51,lookup!D9:D51,FALSE)</f>
        <v>what metrics the TM process produces?</v>
      </c>
      <c r="E9" s="13" t="s">
        <v>66</v>
      </c>
      <c r="F9">
        <f>_xlfn.XLOOKUP(E9,lookup!E28:E30,lookup!F28:F30,0)</f>
        <v>0</v>
      </c>
    </row>
    <row r="10" spans="1:9" ht="46" customHeight="1" x14ac:dyDescent="0.2">
      <c r="A10" s="12" t="s">
        <v>69</v>
      </c>
      <c r="B10" s="6" t="s">
        <v>70</v>
      </c>
      <c r="C10" s="6" t="s">
        <v>20</v>
      </c>
      <c r="D10" s="6" t="str">
        <f>_xlfn.XLOOKUP('initial - circa 2022'!C10,lookup!C10:C52,lookup!D10:D52,FALSE)</f>
        <v>how are TM stored and accessible?</v>
      </c>
      <c r="E10" s="13" t="s">
        <v>72</v>
      </c>
      <c r="F10">
        <f>_xlfn.XLOOKUP(E10,lookup!E31:E33,lookup!F31:F33,0)</f>
        <v>0</v>
      </c>
    </row>
    <row r="11" spans="1:9" ht="46" customHeight="1" x14ac:dyDescent="0.2">
      <c r="A11" s="12"/>
      <c r="B11" s="6"/>
      <c r="C11" s="6" t="s">
        <v>21</v>
      </c>
      <c r="D11" s="6" t="str">
        <f>_xlfn.XLOOKUP('initial - circa 2022'!C11,lookup!C11:C53,lookup!D11:D53,FALSE)</f>
        <v>what file format and template are threat models on?</v>
      </c>
      <c r="E11" s="13" t="s">
        <v>76</v>
      </c>
      <c r="F11">
        <f>_xlfn.XLOOKUP(E11,lookup!E34:E36,lookup!F34:F36,0)</f>
        <v>0</v>
      </c>
    </row>
    <row r="12" spans="1:9" ht="46" customHeight="1" x14ac:dyDescent="0.2">
      <c r="A12" s="12"/>
      <c r="B12" s="6" t="s">
        <v>79</v>
      </c>
      <c r="C12" s="6" t="s">
        <v>22</v>
      </c>
      <c r="D12" s="6" t="str">
        <f>_xlfn.XLOOKUP('initial - circa 2022'!C12,lookup!C12:C54,lookup!D12:D54,FALSE)</f>
        <v>how TM outcomes and security issue management are related?</v>
      </c>
      <c r="E12" s="13" t="s">
        <v>81</v>
      </c>
      <c r="F12">
        <f>_xlfn.XLOOKUP(E12,lookup!E37:E39,lookup!F37:F39,0)</f>
        <v>0.5</v>
      </c>
    </row>
    <row r="13" spans="1:9" ht="46" customHeight="1" x14ac:dyDescent="0.2">
      <c r="A13" s="12"/>
      <c r="B13" s="6"/>
      <c r="C13" s="6" t="s">
        <v>23</v>
      </c>
      <c r="D13" s="6" t="str">
        <f>_xlfn.XLOOKUP('initial - circa 2022'!C13,lookup!C13:C55,lookup!D13:D55,FALSE)</f>
        <v>how TM analysis and its outcomes impact the release condition and gates?</v>
      </c>
      <c r="E13" s="13" t="s">
        <v>84</v>
      </c>
      <c r="F13">
        <f>_xlfn.XLOOKUP(E13,lookup!E40:E42,lookup!F40:F42,0)</f>
        <v>0</v>
      </c>
    </row>
    <row r="19" spans="1:2" x14ac:dyDescent="0.2">
      <c r="B19" s="1" t="s">
        <v>90</v>
      </c>
    </row>
    <row r="21" spans="1:2" ht="17" x14ac:dyDescent="0.2">
      <c r="A21" s="8" t="s">
        <v>13</v>
      </c>
      <c r="B21" s="2">
        <f>AVERAGE(F2:F4)*3</f>
        <v>0.33</v>
      </c>
    </row>
    <row r="22" spans="1:2" ht="17" x14ac:dyDescent="0.2">
      <c r="A22" s="9" t="s">
        <v>38</v>
      </c>
      <c r="B22" s="3">
        <f>AVERAGE(F5:F7)*3</f>
        <v>1.1600000000000001</v>
      </c>
    </row>
    <row r="23" spans="1:2" ht="17" x14ac:dyDescent="0.2">
      <c r="A23" s="10" t="s">
        <v>56</v>
      </c>
      <c r="B23" s="4">
        <f t="shared" ref="B23" si="0">AVERAGE(F4:F6)*3</f>
        <v>1.1600000000000001</v>
      </c>
    </row>
    <row r="24" spans="1:2" ht="17" x14ac:dyDescent="0.2">
      <c r="A24" s="11" t="s">
        <v>63</v>
      </c>
      <c r="B24" s="5">
        <f>F9*3</f>
        <v>0</v>
      </c>
    </row>
    <row r="25" spans="1:2" ht="16" customHeight="1" x14ac:dyDescent="0.2">
      <c r="A25" s="12" t="s">
        <v>69</v>
      </c>
      <c r="B25" s="6">
        <f>AVERAGE(F10:F13)*3</f>
        <v>0.375</v>
      </c>
    </row>
    <row r="27" spans="1:2" x14ac:dyDescent="0.2">
      <c r="A27" s="1" t="s">
        <v>89</v>
      </c>
      <c r="B27" s="1">
        <f>AVERAGE(B21:B25)</f>
        <v>0.60500000000000009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F901A86E-AD7F-4C48-8967-8AC84D5C568B}">
          <x14:formula1>
            <xm:f>lookup!$E$2:$E$5</xm:f>
          </x14:formula1>
          <xm:sqref>E2</xm:sqref>
        </x14:dataValidation>
        <x14:dataValidation type="list" allowBlank="1" showInputMessage="1" showErrorMessage="1" xr:uid="{A6DECA71-EC77-C14A-8C33-11575D7385AE}">
          <x14:formula1>
            <xm:f>lookup!$E$6:$E$9</xm:f>
          </x14:formula1>
          <xm:sqref>E3</xm:sqref>
        </x14:dataValidation>
        <x14:dataValidation type="list" allowBlank="1" showInputMessage="1" showErrorMessage="1" xr:uid="{24D67DD8-BB02-1948-8B78-A9115901027C}">
          <x14:formula1>
            <xm:f>lookup!$E$10:$E$13</xm:f>
          </x14:formula1>
          <xm:sqref>E4</xm:sqref>
        </x14:dataValidation>
        <x14:dataValidation type="list" allowBlank="1" showInputMessage="1" showErrorMessage="1" xr:uid="{79861399-0B78-CA4B-962B-8B5DE337C568}">
          <x14:formula1>
            <xm:f>lookup!$E$14:$E$16</xm:f>
          </x14:formula1>
          <xm:sqref>E5</xm:sqref>
        </x14:dataValidation>
        <x14:dataValidation type="list" allowBlank="1" showInputMessage="1" showErrorMessage="1" xr:uid="{D993249A-FA67-D647-9A24-307E5E32AF7B}">
          <x14:formula1>
            <xm:f>lookup!$E$17:$E$20</xm:f>
          </x14:formula1>
          <xm:sqref>E6</xm:sqref>
        </x14:dataValidation>
        <x14:dataValidation type="list" allowBlank="1" showInputMessage="1" showErrorMessage="1" xr:uid="{77AD9E55-12EB-5B47-B140-C7DE7898F659}">
          <x14:formula1>
            <xm:f>lookup!$E$21:$E$23</xm:f>
          </x14:formula1>
          <xm:sqref>E7</xm:sqref>
        </x14:dataValidation>
        <x14:dataValidation type="list" allowBlank="1" showInputMessage="1" showErrorMessage="1" xr:uid="{4270B6F2-5745-2245-BCAA-3E59D89F284F}">
          <x14:formula1>
            <xm:f>lookup!$E$24:$E$27</xm:f>
          </x14:formula1>
          <xm:sqref>E8</xm:sqref>
        </x14:dataValidation>
        <x14:dataValidation type="list" allowBlank="1" showInputMessage="1" showErrorMessage="1" xr:uid="{4AB0BA25-C085-D743-897A-1378B4335183}">
          <x14:formula1>
            <xm:f>lookup!$E$28:$E$30</xm:f>
          </x14:formula1>
          <xm:sqref>E9</xm:sqref>
        </x14:dataValidation>
        <x14:dataValidation type="list" allowBlank="1" showInputMessage="1" showErrorMessage="1" xr:uid="{39D1C33C-16CA-FD4D-A030-217002BBEA77}">
          <x14:formula1>
            <xm:f>lookup!$E$31:$E$33</xm:f>
          </x14:formula1>
          <xm:sqref>E10</xm:sqref>
        </x14:dataValidation>
        <x14:dataValidation type="list" allowBlank="1" showInputMessage="1" showErrorMessage="1" xr:uid="{08A8C954-145E-F442-9437-4675CE41B50E}">
          <x14:formula1>
            <xm:f>lookup!$E$34:$E$36</xm:f>
          </x14:formula1>
          <xm:sqref>E11</xm:sqref>
        </x14:dataValidation>
        <x14:dataValidation type="list" allowBlank="1" showInputMessage="1" showErrorMessage="1" xr:uid="{4DCE1685-1D7F-F844-9F4D-9B4E16FD67D1}">
          <x14:formula1>
            <xm:f>lookup!$E$37:$E$39</xm:f>
          </x14:formula1>
          <xm:sqref>E12</xm:sqref>
        </x14:dataValidation>
        <x14:dataValidation type="list" allowBlank="1" showInputMessage="1" showErrorMessage="1" xr:uid="{C6518BA1-5A49-3F45-8FB3-FCC464C73252}">
          <x14:formula1>
            <xm:f>lookup!$E$40:$E$42</xm:f>
          </x14:formula1>
          <xm:sqref>E13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38D9-46B5-704F-903E-4F0893919821}">
  <sheetPr codeName="Sheet2"/>
  <dimension ref="A1:I27"/>
  <sheetViews>
    <sheetView zoomScaleNormal="110" workbookViewId="0">
      <selection activeCell="E9" sqref="E9"/>
    </sheetView>
  </sheetViews>
  <sheetFormatPr baseColWidth="10" defaultRowHeight="16" x14ac:dyDescent="0.2"/>
  <cols>
    <col min="1" max="1" width="33.6640625" customWidth="1"/>
    <col min="2" max="2" width="43.6640625" customWidth="1"/>
    <col min="3" max="3" width="8.83203125" customWidth="1"/>
    <col min="4" max="4" width="47.33203125" customWidth="1"/>
    <col min="5" max="5" width="46.33203125" customWidth="1"/>
    <col min="6" max="6" width="8.33203125" bestFit="1" customWidth="1"/>
    <col min="7" max="7" width="15.6640625" customWidth="1"/>
    <col min="9" max="9" width="16.6640625" customWidth="1"/>
  </cols>
  <sheetData>
    <row r="1" spans="1:9" s="1" customFormat="1" ht="27" customHeight="1" x14ac:dyDescent="0.2">
      <c r="A1" s="7" t="s">
        <v>87</v>
      </c>
      <c r="B1" s="7" t="s">
        <v>31</v>
      </c>
      <c r="C1" s="7" t="s">
        <v>1</v>
      </c>
      <c r="D1" s="7" t="s">
        <v>32</v>
      </c>
      <c r="E1" s="7" t="s">
        <v>0</v>
      </c>
    </row>
    <row r="2" spans="1:9" ht="46" customHeight="1" x14ac:dyDescent="0.2">
      <c r="A2" s="8" t="str">
        <f>lookup!A2</f>
        <v>Process integration</v>
      </c>
      <c r="B2" s="2" t="str">
        <f>lookup!B2</f>
        <v>maintenance and review frequency</v>
      </c>
      <c r="C2" s="2" t="str">
        <f>lookup!C2</f>
        <v>QFPI1.1</v>
      </c>
      <c r="D2" s="2" t="str">
        <f>_xlfn.XLOOKUP('phase 1 - 2023'!C2,lookup!C2:C44,lookup!D2:D44,FALSE)</f>
        <v>How often the threat models are reviewed and maintained?</v>
      </c>
      <c r="E2" s="13" t="s">
        <v>9</v>
      </c>
      <c r="F2">
        <f>_xlfn.XLOOKUP(E2,lookup!E2:E5,lookup!F2:F5,FALSE)</f>
        <v>0.66</v>
      </c>
      <c r="H2" s="1"/>
      <c r="I2" s="1"/>
    </row>
    <row r="3" spans="1:9" ht="46" customHeight="1" x14ac:dyDescent="0.2">
      <c r="A3" s="8"/>
      <c r="B3" s="2" t="str">
        <f>lookup!B6</f>
        <v>Threat Modeling process engagement</v>
      </c>
      <c r="C3" s="2" t="str">
        <f>lookup!C6</f>
        <v>QFPI2.1</v>
      </c>
      <c r="D3" s="2" t="str">
        <f>_xlfn.XLOOKUP('phase 1 - 2023'!C3,lookup!C3:C45,lookup!D3:D45,FALSE)</f>
        <v>On what occasions TM is performed during SSDL?</v>
      </c>
      <c r="E3" s="13" t="s">
        <v>28</v>
      </c>
      <c r="F3">
        <f>_xlfn.XLOOKUP(E3,lookup!E6:E9,lookup!F6:F9,FALSE)</f>
        <v>0.66</v>
      </c>
    </row>
    <row r="4" spans="1:9" ht="89" customHeight="1" x14ac:dyDescent="0.2">
      <c r="A4" s="8"/>
      <c r="B4" s="2" t="str">
        <f>lookup!B10</f>
        <v>SSDL and TM features synergies</v>
      </c>
      <c r="C4" s="2" t="str">
        <f>lookup!C10</f>
        <v>QFPI3.1</v>
      </c>
      <c r="D4" s="2" t="str">
        <f>_xlfn.XLOOKUP('phase 1 - 2023'!C4,lookup!C4:C46,lookup!D4:D46,FALSE)</f>
        <v>How current threat modeling enables and improves other aspects of security and development?</v>
      </c>
      <c r="E4" s="13" t="s">
        <v>36</v>
      </c>
      <c r="F4">
        <f>_xlfn.XLOOKUP(E4,lookup!E10:E13,lookup!F10:F13,FALSE)</f>
        <v>0.33</v>
      </c>
    </row>
    <row r="5" spans="1:9" ht="46" customHeight="1" x14ac:dyDescent="0.2">
      <c r="A5" s="9" t="s">
        <v>38</v>
      </c>
      <c r="B5" s="3" t="s">
        <v>40</v>
      </c>
      <c r="C5" s="3" t="s">
        <v>15</v>
      </c>
      <c r="D5" s="3" t="str">
        <f>_xlfn.XLOOKUP('phase 1 - 2023'!C5,lookup!C5:C47,lookup!D5:D47,FALSE)</f>
        <v>what methodologies are used for threat modeling?</v>
      </c>
      <c r="E5" s="13" t="s">
        <v>43</v>
      </c>
      <c r="F5">
        <f>_xlfn.XLOOKUP(E5,lookup!E14:E16,lookup!F14:F16,FALSE)</f>
        <v>0.66</v>
      </c>
    </row>
    <row r="6" spans="1:9" ht="88" customHeight="1" x14ac:dyDescent="0.2">
      <c r="A6" s="9"/>
      <c r="B6" s="3" t="s">
        <v>46</v>
      </c>
      <c r="C6" s="3" t="s">
        <v>16</v>
      </c>
      <c r="D6" s="3" t="str">
        <f>_xlfn.XLOOKUP('phase 1 - 2023'!C6,lookup!C6:C48,lookup!D6:D48,FALSE)</f>
        <v>what granularity and level of abstraction are the system analyzed at?</v>
      </c>
      <c r="E6" s="13" t="s">
        <v>50</v>
      </c>
      <c r="F6">
        <f>_xlfn.XLOOKUP(E6,lookup!E17:E20,lookup!F17:F20,0)</f>
        <v>0.75</v>
      </c>
    </row>
    <row r="7" spans="1:9" ht="46" customHeight="1" x14ac:dyDescent="0.2">
      <c r="A7" s="9"/>
      <c r="B7" s="3" t="s">
        <v>52</v>
      </c>
      <c r="C7" s="3" t="s">
        <v>17</v>
      </c>
      <c r="D7" s="3" t="str">
        <f>_xlfn.XLOOKUP('phase 1 - 2023'!C7,lookup!C7:C49,lookup!D7:D49,FALSE)</f>
        <v>How scalable are the threat models?</v>
      </c>
      <c r="E7" s="13" t="s">
        <v>55</v>
      </c>
      <c r="F7">
        <f>_xlfn.XLOOKUP(E7,lookup!E21:E23,lookup!F21:F23,0)</f>
        <v>1</v>
      </c>
    </row>
    <row r="8" spans="1:9" ht="46" customHeight="1" x14ac:dyDescent="0.2">
      <c r="A8" s="10" t="s">
        <v>56</v>
      </c>
      <c r="B8" s="4" t="s">
        <v>57</v>
      </c>
      <c r="C8" s="4" t="s">
        <v>18</v>
      </c>
      <c r="D8" s="4" t="str">
        <f>_xlfn.XLOOKUP('phase 1 - 2023'!C8,lookup!C8:C50,lookup!D8:D50,FALSE)</f>
        <v>what security expertise is available to perform threat modeling?</v>
      </c>
      <c r="E8" s="13" t="s">
        <v>60</v>
      </c>
      <c r="F8">
        <f>_xlfn.XLOOKUP(E8,lookup!E24:E27,lookup!F24:F27,0)</f>
        <v>0.33</v>
      </c>
    </row>
    <row r="9" spans="1:9" ht="46" customHeight="1" x14ac:dyDescent="0.2">
      <c r="A9" s="11" t="s">
        <v>63</v>
      </c>
      <c r="B9" s="5" t="s">
        <v>64</v>
      </c>
      <c r="C9" s="5" t="s">
        <v>19</v>
      </c>
      <c r="D9" s="5" t="str">
        <f>_xlfn.XLOOKUP('phase 1 - 2023'!C9,lookup!C9:C51,lookup!D9:D51,FALSE)</f>
        <v>what metrics the TM process produces?</v>
      </c>
      <c r="E9" s="13" t="s">
        <v>67</v>
      </c>
      <c r="F9">
        <f>_xlfn.XLOOKUP(E9,lookup!E28:E30,lookup!F28:F30,0)</f>
        <v>0.5</v>
      </c>
    </row>
    <row r="10" spans="1:9" ht="46" customHeight="1" x14ac:dyDescent="0.2">
      <c r="A10" s="12" t="s">
        <v>69</v>
      </c>
      <c r="B10" s="6" t="s">
        <v>70</v>
      </c>
      <c r="C10" s="6" t="s">
        <v>20</v>
      </c>
      <c r="D10" s="6" t="str">
        <f>_xlfn.XLOOKUP('phase 1 - 2023'!C10,lookup!C10:C52,lookup!D10:D52,FALSE)</f>
        <v>how are TM stored and accessible?</v>
      </c>
      <c r="E10" s="13" t="s">
        <v>73</v>
      </c>
      <c r="F10">
        <f>_xlfn.XLOOKUP(E10,lookup!E31:E33,lookup!F31:F33,0)</f>
        <v>0.66</v>
      </c>
    </row>
    <row r="11" spans="1:9" ht="46" customHeight="1" x14ac:dyDescent="0.2">
      <c r="A11" s="12"/>
      <c r="B11" s="6"/>
      <c r="C11" s="6" t="s">
        <v>21</v>
      </c>
      <c r="D11" s="6" t="str">
        <f>_xlfn.XLOOKUP('phase 1 - 2023'!C11,lookup!C11:C53,lookup!D11:D53,FALSE)</f>
        <v>what file format and template are threat models on?</v>
      </c>
      <c r="E11" s="13" t="s">
        <v>78</v>
      </c>
      <c r="F11">
        <f>_xlfn.XLOOKUP(E11,lookup!E34:E36,lookup!F34:F36,0)</f>
        <v>1</v>
      </c>
    </row>
    <row r="12" spans="1:9" ht="46" customHeight="1" x14ac:dyDescent="0.2">
      <c r="A12" s="12"/>
      <c r="B12" s="6" t="s">
        <v>79</v>
      </c>
      <c r="C12" s="6" t="s">
        <v>22</v>
      </c>
      <c r="D12" s="6" t="str">
        <f>_xlfn.XLOOKUP('phase 1 - 2023'!C12,lookup!C12:C54,lookup!D12:D54,FALSE)</f>
        <v>how TM outcomes and security issue management are related?</v>
      </c>
      <c r="E12" s="13" t="s">
        <v>81</v>
      </c>
      <c r="F12">
        <f>_xlfn.XLOOKUP(E12,lookup!E37:E39,lookup!F37:F39,0)</f>
        <v>0.5</v>
      </c>
    </row>
    <row r="13" spans="1:9" ht="46" customHeight="1" x14ac:dyDescent="0.2">
      <c r="A13" s="12"/>
      <c r="B13" s="6"/>
      <c r="C13" s="6" t="s">
        <v>23</v>
      </c>
      <c r="D13" s="6" t="str">
        <f>_xlfn.XLOOKUP('phase 1 - 2023'!C13,lookup!C13:C55,lookup!D13:D55,FALSE)</f>
        <v>how TM analysis and its outcomes impact the release condition and gates?</v>
      </c>
      <c r="E13" s="13" t="s">
        <v>84</v>
      </c>
      <c r="F13">
        <f>_xlfn.XLOOKUP(E13,lookup!E40:E42,lookup!F40:F42,0)</f>
        <v>0</v>
      </c>
      <c r="G13" t="s">
        <v>102</v>
      </c>
    </row>
    <row r="19" spans="1:2" x14ac:dyDescent="0.2">
      <c r="B19" s="1" t="s">
        <v>90</v>
      </c>
    </row>
    <row r="21" spans="1:2" ht="17" x14ac:dyDescent="0.2">
      <c r="A21" s="8" t="s">
        <v>13</v>
      </c>
      <c r="B21" s="2">
        <f>AVERAGE(F2:F4)*3</f>
        <v>1.6500000000000001</v>
      </c>
    </row>
    <row r="22" spans="1:2" ht="17" x14ac:dyDescent="0.2">
      <c r="A22" s="9" t="s">
        <v>38</v>
      </c>
      <c r="B22" s="3">
        <f>AVERAGE(F5:F7)*3</f>
        <v>2.41</v>
      </c>
    </row>
    <row r="23" spans="1:2" ht="17" x14ac:dyDescent="0.2">
      <c r="A23" s="10" t="s">
        <v>56</v>
      </c>
      <c r="B23" s="4">
        <f t="shared" ref="B23" si="0">AVERAGE(F4:F6)*3</f>
        <v>1.7399999999999998</v>
      </c>
    </row>
    <row r="24" spans="1:2" ht="17" x14ac:dyDescent="0.2">
      <c r="A24" s="11" t="s">
        <v>63</v>
      </c>
      <c r="B24" s="5">
        <f>F9*3</f>
        <v>1.5</v>
      </c>
    </row>
    <row r="25" spans="1:2" ht="16" customHeight="1" x14ac:dyDescent="0.2">
      <c r="A25" s="12" t="s">
        <v>69</v>
      </c>
      <c r="B25" s="6">
        <f>AVERAGE(F10:F13)*3</f>
        <v>1.62</v>
      </c>
    </row>
    <row r="27" spans="1:2" x14ac:dyDescent="0.2">
      <c r="A27" s="1" t="s">
        <v>89</v>
      </c>
      <c r="B27" s="1">
        <f>AVERAGE(B21:B25)</f>
        <v>1.7840000000000003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7FAB5240-CDA2-C14A-A02A-BDEF6EA8255C}">
          <x14:formula1>
            <xm:f>lookup!$E$40:$E$42</xm:f>
          </x14:formula1>
          <xm:sqref>E13</xm:sqref>
        </x14:dataValidation>
        <x14:dataValidation type="list" allowBlank="1" showInputMessage="1" showErrorMessage="1" xr:uid="{50106FE9-EF81-764F-98AA-2E476CC7D842}">
          <x14:formula1>
            <xm:f>lookup!$E$37:$E$39</xm:f>
          </x14:formula1>
          <xm:sqref>E12</xm:sqref>
        </x14:dataValidation>
        <x14:dataValidation type="list" allowBlank="1" showInputMessage="1" showErrorMessage="1" xr:uid="{C5C0C8D4-634B-DD4C-9993-D6DCEB3D388A}">
          <x14:formula1>
            <xm:f>lookup!$E$34:$E$36</xm:f>
          </x14:formula1>
          <xm:sqref>E11</xm:sqref>
        </x14:dataValidation>
        <x14:dataValidation type="list" allowBlank="1" showInputMessage="1" showErrorMessage="1" xr:uid="{7802B0AA-2415-5646-A2BB-BB23BB782A6E}">
          <x14:formula1>
            <xm:f>lookup!$E$31:$E$33</xm:f>
          </x14:formula1>
          <xm:sqref>E10</xm:sqref>
        </x14:dataValidation>
        <x14:dataValidation type="list" allowBlank="1" showInputMessage="1" showErrorMessage="1" xr:uid="{E74444F3-7777-E54C-90EC-919BA3F3A764}">
          <x14:formula1>
            <xm:f>lookup!$E$28:$E$30</xm:f>
          </x14:formula1>
          <xm:sqref>E9</xm:sqref>
        </x14:dataValidation>
        <x14:dataValidation type="list" allowBlank="1" showInputMessage="1" showErrorMessage="1" xr:uid="{56148EE6-12FD-9840-963C-B56CF7441B26}">
          <x14:formula1>
            <xm:f>lookup!$E$24:$E$27</xm:f>
          </x14:formula1>
          <xm:sqref>E8</xm:sqref>
        </x14:dataValidation>
        <x14:dataValidation type="list" allowBlank="1" showInputMessage="1" showErrorMessage="1" xr:uid="{B91C34B3-D992-1849-96A6-2D141C20C757}">
          <x14:formula1>
            <xm:f>lookup!$E$21:$E$23</xm:f>
          </x14:formula1>
          <xm:sqref>E7</xm:sqref>
        </x14:dataValidation>
        <x14:dataValidation type="list" allowBlank="1" showInputMessage="1" showErrorMessage="1" xr:uid="{D01C64E0-9CD0-C340-BB56-4BC6CBEBC5DF}">
          <x14:formula1>
            <xm:f>lookup!$E$17:$E$20</xm:f>
          </x14:formula1>
          <xm:sqref>E6</xm:sqref>
        </x14:dataValidation>
        <x14:dataValidation type="list" allowBlank="1" showInputMessage="1" showErrorMessage="1" xr:uid="{A35E2297-6B19-3545-BE25-A02F0FBDE4C8}">
          <x14:formula1>
            <xm:f>lookup!$E$14:$E$16</xm:f>
          </x14:formula1>
          <xm:sqref>E5</xm:sqref>
        </x14:dataValidation>
        <x14:dataValidation type="list" allowBlank="1" showInputMessage="1" showErrorMessage="1" xr:uid="{180F11A8-F06C-1148-A7D0-4072D8A1B531}">
          <x14:formula1>
            <xm:f>lookup!$E$10:$E$13</xm:f>
          </x14:formula1>
          <xm:sqref>E4</xm:sqref>
        </x14:dataValidation>
        <x14:dataValidation type="list" allowBlank="1" showInputMessage="1" showErrorMessage="1" xr:uid="{AA05DA61-C24B-2D49-95F5-6B8FCECD4580}">
          <x14:formula1>
            <xm:f>lookup!$E$6:$E$9</xm:f>
          </x14:formula1>
          <xm:sqref>E3</xm:sqref>
        </x14:dataValidation>
        <x14:dataValidation type="list" allowBlank="1" showInputMessage="1" showErrorMessage="1" xr:uid="{82638054-6A50-6047-8884-DE1052340FC1}">
          <x14:formula1>
            <xm:f>lookup!$E$2:$E$5</xm:f>
          </x14:formula1>
          <xm:sqref>E2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C338-2F9C-1345-BB10-5507E233FB24}">
  <sheetPr codeName="Sheet4"/>
  <dimension ref="A1:I27"/>
  <sheetViews>
    <sheetView zoomScale="106" zoomScaleNormal="110" workbookViewId="0">
      <selection activeCell="E4" sqref="E4"/>
    </sheetView>
  </sheetViews>
  <sheetFormatPr baseColWidth="10" defaultRowHeight="16" x14ac:dyDescent="0.2"/>
  <cols>
    <col min="1" max="1" width="33.6640625" customWidth="1"/>
    <col min="2" max="2" width="43.6640625" customWidth="1"/>
    <col min="3" max="3" width="8.83203125" customWidth="1"/>
    <col min="4" max="4" width="47.33203125" customWidth="1"/>
    <col min="5" max="5" width="46.33203125" customWidth="1"/>
    <col min="6" max="6" width="8.33203125" bestFit="1" customWidth="1"/>
    <col min="7" max="7" width="35.83203125" customWidth="1"/>
    <col min="9" max="9" width="16.6640625" customWidth="1"/>
  </cols>
  <sheetData>
    <row r="1" spans="1:9" s="1" customFormat="1" ht="27" customHeight="1" x14ac:dyDescent="0.2">
      <c r="A1" s="7" t="s">
        <v>87</v>
      </c>
      <c r="B1" s="7" t="s">
        <v>31</v>
      </c>
      <c r="C1" s="7" t="s">
        <v>1</v>
      </c>
      <c r="D1" s="7" t="s">
        <v>32</v>
      </c>
      <c r="E1" s="7" t="s">
        <v>0</v>
      </c>
      <c r="G1" s="1" t="s">
        <v>103</v>
      </c>
    </row>
    <row r="2" spans="1:9" ht="46" customHeight="1" x14ac:dyDescent="0.2">
      <c r="A2" s="8" t="str">
        <f>lookup!A2</f>
        <v>Process integration</v>
      </c>
      <c r="B2" s="2" t="str">
        <f>lookup!B2</f>
        <v>maintenance and review frequency</v>
      </c>
      <c r="C2" s="2" t="str">
        <f>lookup!C2</f>
        <v>QFPI1.1</v>
      </c>
      <c r="D2" s="2" t="str">
        <f>_xlfn.XLOOKUP('phase 2 - 2024'!C2,lookup!C2:C44,lookup!D2:D44,FALSE)</f>
        <v>How often the threat models are reviewed and maintained?</v>
      </c>
      <c r="E2" s="13" t="s">
        <v>10</v>
      </c>
      <c r="F2">
        <f>_xlfn.XLOOKUP(E2,lookup!E2:E5,lookup!F2:F5,FALSE)</f>
        <v>1</v>
      </c>
      <c r="H2" s="1"/>
      <c r="I2" s="1"/>
    </row>
    <row r="3" spans="1:9" ht="46" customHeight="1" x14ac:dyDescent="0.2">
      <c r="A3" s="8"/>
      <c r="B3" s="2" t="str">
        <f>lookup!B6</f>
        <v>Threat Modeling process engagement</v>
      </c>
      <c r="C3" s="2" t="str">
        <f>lookup!C6</f>
        <v>QFPI2.1</v>
      </c>
      <c r="D3" s="2" t="str">
        <f>_xlfn.XLOOKUP('phase 2 - 2024'!C3,lookup!C3:C45,lookup!D3:D45,FALSE)</f>
        <v>On what occasions TM is performed during SSDL?</v>
      </c>
      <c r="E3" s="13" t="s">
        <v>29</v>
      </c>
      <c r="F3">
        <f>_xlfn.XLOOKUP(E3,lookup!E6:E9,lookup!F6:F9,FALSE)</f>
        <v>1</v>
      </c>
      <c r="G3" s="19" t="s">
        <v>104</v>
      </c>
    </row>
    <row r="4" spans="1:9" ht="89" customHeight="1" x14ac:dyDescent="0.2">
      <c r="A4" s="8"/>
      <c r="B4" s="2" t="str">
        <f>lookup!B10</f>
        <v>SSDL and TM features synergies</v>
      </c>
      <c r="C4" s="2" t="str">
        <f>lookup!C10</f>
        <v>QFPI3.1</v>
      </c>
      <c r="D4" s="2" t="str">
        <f>_xlfn.XLOOKUP('phase 2 - 2024'!C4,lookup!C4:C46,lookup!D4:D46,FALSE)</f>
        <v>How current threat modeling enables and improves other aspects of security and development?</v>
      </c>
      <c r="E4" s="13" t="s">
        <v>37</v>
      </c>
      <c r="F4">
        <f>_xlfn.XLOOKUP(E4,lookup!E10:E13,lookup!F10:F13,FALSE)</f>
        <v>0.66</v>
      </c>
      <c r="G4" s="19" t="s">
        <v>105</v>
      </c>
    </row>
    <row r="5" spans="1:9" ht="46" customHeight="1" x14ac:dyDescent="0.2">
      <c r="A5" s="9" t="s">
        <v>38</v>
      </c>
      <c r="B5" s="3" t="s">
        <v>40</v>
      </c>
      <c r="C5" s="3" t="s">
        <v>15</v>
      </c>
      <c r="D5" s="3" t="str">
        <f>_xlfn.XLOOKUP('phase 2 - 2024'!C5,lookup!C5:C47,lookup!D5:D47,FALSE)</f>
        <v>what methodologies are used for threat modeling?</v>
      </c>
      <c r="E5" s="13" t="s">
        <v>44</v>
      </c>
      <c r="F5">
        <f>_xlfn.XLOOKUP(E5,lookup!E14:E16,lookup!F14:F16,FALSE)</f>
        <v>1</v>
      </c>
      <c r="G5" s="19" t="s">
        <v>106</v>
      </c>
    </row>
    <row r="6" spans="1:9" ht="88" customHeight="1" x14ac:dyDescent="0.2">
      <c r="A6" s="9"/>
      <c r="B6" s="3" t="s">
        <v>46</v>
      </c>
      <c r="C6" s="3" t="s">
        <v>16</v>
      </c>
      <c r="D6" s="3" t="str">
        <f>_xlfn.XLOOKUP('phase 2 - 2024'!C6,lookup!C6:C48,lookup!D6:D48,FALSE)</f>
        <v>what granularity and level of abstraction are the system analyzed at?</v>
      </c>
      <c r="E6" s="13" t="s">
        <v>50</v>
      </c>
      <c r="F6">
        <f>_xlfn.XLOOKUP(E6,lookup!E17:E20,lookup!F17:F20,0)</f>
        <v>0.75</v>
      </c>
    </row>
    <row r="7" spans="1:9" ht="46" customHeight="1" x14ac:dyDescent="0.2">
      <c r="A7" s="9"/>
      <c r="B7" s="3" t="s">
        <v>52</v>
      </c>
      <c r="C7" s="3" t="s">
        <v>17</v>
      </c>
      <c r="D7" s="3" t="str">
        <f>_xlfn.XLOOKUP('phase 2 - 2024'!C7,lookup!C7:C49,lookup!D7:D49,FALSE)</f>
        <v>How scalable are the threat models?</v>
      </c>
      <c r="E7" s="13" t="s">
        <v>55</v>
      </c>
      <c r="F7">
        <f>_xlfn.XLOOKUP(E7,lookup!E21:E23,lookup!F21:F23,0)</f>
        <v>1</v>
      </c>
    </row>
    <row r="8" spans="1:9" ht="46" customHeight="1" x14ac:dyDescent="0.2">
      <c r="A8" s="10" t="s">
        <v>56</v>
      </c>
      <c r="B8" s="4" t="s">
        <v>57</v>
      </c>
      <c r="C8" s="4" t="s">
        <v>18</v>
      </c>
      <c r="D8" s="4" t="str">
        <f>_xlfn.XLOOKUP('phase 2 - 2024'!C8,lookup!C8:C50,lookup!D8:D50,FALSE)</f>
        <v>what security expertise is available to perform threat modeling?</v>
      </c>
      <c r="E8" s="13" t="s">
        <v>61</v>
      </c>
      <c r="F8">
        <f>_xlfn.XLOOKUP(E8,lookup!E24:E27,lookup!F24:F27,0)</f>
        <v>0.66</v>
      </c>
    </row>
    <row r="9" spans="1:9" ht="46" customHeight="1" x14ac:dyDescent="0.2">
      <c r="A9" s="11" t="s">
        <v>63</v>
      </c>
      <c r="B9" s="5" t="s">
        <v>64</v>
      </c>
      <c r="C9" s="5" t="s">
        <v>19</v>
      </c>
      <c r="D9" s="5" t="str">
        <f>_xlfn.XLOOKUP('phase 2 - 2024'!C9,lookup!C9:C51,lookup!D9:D51,FALSE)</f>
        <v>what metrics the TM process produces?</v>
      </c>
      <c r="E9" s="13" t="s">
        <v>67</v>
      </c>
      <c r="F9">
        <f>_xlfn.XLOOKUP(E9,lookup!E28:E30,lookup!F28:F30,0)</f>
        <v>0.5</v>
      </c>
    </row>
    <row r="10" spans="1:9" ht="46" customHeight="1" x14ac:dyDescent="0.2">
      <c r="A10" s="12" t="s">
        <v>69</v>
      </c>
      <c r="B10" s="6" t="s">
        <v>70</v>
      </c>
      <c r="C10" s="6" t="s">
        <v>20</v>
      </c>
      <c r="D10" s="6" t="str">
        <f>_xlfn.XLOOKUP('phase 2 - 2024'!C10,lookup!C10:C52,lookup!D10:D52,FALSE)</f>
        <v>how are TM stored and accessible?</v>
      </c>
      <c r="E10" s="13" t="s">
        <v>74</v>
      </c>
      <c r="F10">
        <f>_xlfn.XLOOKUP(E10,lookup!E31:E33,lookup!F31:F33,0)</f>
        <v>1</v>
      </c>
    </row>
    <row r="11" spans="1:9" ht="46" customHeight="1" x14ac:dyDescent="0.2">
      <c r="A11" s="12"/>
      <c r="B11" s="6"/>
      <c r="C11" s="6" t="s">
        <v>21</v>
      </c>
      <c r="D11" s="6" t="str">
        <f>_xlfn.XLOOKUP('phase 2 - 2024'!C11,lookup!C11:C53,lookup!D11:D53,FALSE)</f>
        <v>what file format and template are threat models on?</v>
      </c>
      <c r="E11" s="13" t="s">
        <v>78</v>
      </c>
      <c r="F11">
        <f>_xlfn.XLOOKUP(E11,lookup!E34:E36,lookup!F34:F36,0)</f>
        <v>1</v>
      </c>
    </row>
    <row r="12" spans="1:9" ht="46" customHeight="1" x14ac:dyDescent="0.2">
      <c r="A12" s="12"/>
      <c r="B12" s="6" t="s">
        <v>79</v>
      </c>
      <c r="C12" s="6" t="s">
        <v>22</v>
      </c>
      <c r="D12" s="6" t="str">
        <f>_xlfn.XLOOKUP('phase 2 - 2024'!C12,lookup!C12:C54,lookup!D12:D54,FALSE)</f>
        <v>how TM outcomes and security issue management are related?</v>
      </c>
      <c r="E12" s="13" t="s">
        <v>82</v>
      </c>
      <c r="F12">
        <f>_xlfn.XLOOKUP(E12,lookup!E37:E39,lookup!F37:F39,0)</f>
        <v>1</v>
      </c>
      <c r="G12" s="6" t="s">
        <v>107</v>
      </c>
    </row>
    <row r="13" spans="1:9" ht="46" customHeight="1" x14ac:dyDescent="0.2">
      <c r="A13" s="12"/>
      <c r="B13" s="6"/>
      <c r="C13" s="6" t="s">
        <v>23</v>
      </c>
      <c r="D13" s="6" t="str">
        <f>_xlfn.XLOOKUP('phase 2 - 2024'!C13,lookup!C13:C55,lookup!D13:D55,FALSE)</f>
        <v>how TM analysis and its outcomes impact the release condition and gates?</v>
      </c>
      <c r="E13" s="13" t="s">
        <v>85</v>
      </c>
      <c r="F13">
        <f>_xlfn.XLOOKUP(E13,lookup!E40:E42,lookup!F40:F42,0)</f>
        <v>0.5</v>
      </c>
    </row>
    <row r="19" spans="1:2" x14ac:dyDescent="0.2">
      <c r="B19" s="1" t="s">
        <v>90</v>
      </c>
    </row>
    <row r="21" spans="1:2" ht="17" x14ac:dyDescent="0.2">
      <c r="A21" s="8" t="s">
        <v>13</v>
      </c>
      <c r="B21" s="2">
        <f>AVERAGE(F2:F4)*3</f>
        <v>2.66</v>
      </c>
    </row>
    <row r="22" spans="1:2" ht="17" x14ac:dyDescent="0.2">
      <c r="A22" s="9" t="s">
        <v>38</v>
      </c>
      <c r="B22" s="3">
        <f>AVERAGE(F5:F7)*3</f>
        <v>2.75</v>
      </c>
    </row>
    <row r="23" spans="1:2" ht="17" x14ac:dyDescent="0.2">
      <c r="A23" s="10" t="s">
        <v>56</v>
      </c>
      <c r="B23" s="4">
        <f t="shared" ref="B23" si="0">AVERAGE(F4:F6)*3</f>
        <v>2.41</v>
      </c>
    </row>
    <row r="24" spans="1:2" ht="17" x14ac:dyDescent="0.2">
      <c r="A24" s="11" t="s">
        <v>63</v>
      </c>
      <c r="B24" s="5">
        <f>F9*3</f>
        <v>1.5</v>
      </c>
    </row>
    <row r="25" spans="1:2" ht="16" customHeight="1" x14ac:dyDescent="0.2">
      <c r="A25" s="12" t="s">
        <v>69</v>
      </c>
      <c r="B25" s="6">
        <f>AVERAGE(F10:F13)*3</f>
        <v>2.625</v>
      </c>
    </row>
    <row r="27" spans="1:2" x14ac:dyDescent="0.2">
      <c r="A27" s="1" t="s">
        <v>89</v>
      </c>
      <c r="B27" s="1">
        <f>AVERAGE(B21:B25)</f>
        <v>2.3890000000000002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B0DB989E-1D99-6548-8446-FF78ECFA185A}">
          <x14:formula1>
            <xm:f>lookup!$E$2:$E$5</xm:f>
          </x14:formula1>
          <xm:sqref>E2</xm:sqref>
        </x14:dataValidation>
        <x14:dataValidation type="list" allowBlank="1" showInputMessage="1" showErrorMessage="1" xr:uid="{F7D208D0-9E0E-3147-ADFB-B7E61BE4D4B8}">
          <x14:formula1>
            <xm:f>lookup!$E$6:$E$9</xm:f>
          </x14:formula1>
          <xm:sqref>E3</xm:sqref>
        </x14:dataValidation>
        <x14:dataValidation type="list" allowBlank="1" showInputMessage="1" showErrorMessage="1" xr:uid="{0FBE56E9-1485-AE44-BA8C-13AFE92DF798}">
          <x14:formula1>
            <xm:f>lookup!$E$10:$E$13</xm:f>
          </x14:formula1>
          <xm:sqref>E4</xm:sqref>
        </x14:dataValidation>
        <x14:dataValidation type="list" allowBlank="1" showInputMessage="1" showErrorMessage="1" xr:uid="{FC1E00E5-4231-A94B-94C1-69AE4A5CC8D7}">
          <x14:formula1>
            <xm:f>lookup!$E$14:$E$16</xm:f>
          </x14:formula1>
          <xm:sqref>E5</xm:sqref>
        </x14:dataValidation>
        <x14:dataValidation type="list" allowBlank="1" showInputMessage="1" showErrorMessage="1" xr:uid="{672C9C7D-EBC8-4A4A-B0D8-BE6748543DAA}">
          <x14:formula1>
            <xm:f>lookup!$E$17:$E$20</xm:f>
          </x14:formula1>
          <xm:sqref>E6</xm:sqref>
        </x14:dataValidation>
        <x14:dataValidation type="list" allowBlank="1" showInputMessage="1" showErrorMessage="1" xr:uid="{50A38C71-5666-6C43-9588-CCBBEC582B3E}">
          <x14:formula1>
            <xm:f>lookup!$E$21:$E$23</xm:f>
          </x14:formula1>
          <xm:sqref>E7</xm:sqref>
        </x14:dataValidation>
        <x14:dataValidation type="list" allowBlank="1" showInputMessage="1" showErrorMessage="1" xr:uid="{46F55D28-9073-3F44-B946-FB229C544B29}">
          <x14:formula1>
            <xm:f>lookup!$E$24:$E$27</xm:f>
          </x14:formula1>
          <xm:sqref>E8</xm:sqref>
        </x14:dataValidation>
        <x14:dataValidation type="list" allowBlank="1" showInputMessage="1" showErrorMessage="1" xr:uid="{18C837FF-E04C-B74E-BF18-5D587ED5F064}">
          <x14:formula1>
            <xm:f>lookup!$E$28:$E$30</xm:f>
          </x14:formula1>
          <xm:sqref>E9</xm:sqref>
        </x14:dataValidation>
        <x14:dataValidation type="list" allowBlank="1" showInputMessage="1" showErrorMessage="1" xr:uid="{74F272FF-8C14-CE45-A5BA-41D939DC6BA7}">
          <x14:formula1>
            <xm:f>lookup!$E$31:$E$33</xm:f>
          </x14:formula1>
          <xm:sqref>E10</xm:sqref>
        </x14:dataValidation>
        <x14:dataValidation type="list" allowBlank="1" showInputMessage="1" showErrorMessage="1" xr:uid="{7CD9B96C-3F88-6F46-94F1-14A42B36D23D}">
          <x14:formula1>
            <xm:f>lookup!$E$34:$E$36</xm:f>
          </x14:formula1>
          <xm:sqref>E11</xm:sqref>
        </x14:dataValidation>
        <x14:dataValidation type="list" allowBlank="1" showInputMessage="1" showErrorMessage="1" xr:uid="{F812148E-EAE7-144C-902D-BBADF719616A}">
          <x14:formula1>
            <xm:f>lookup!$E$37:$E$39</xm:f>
          </x14:formula1>
          <xm:sqref>E12</xm:sqref>
        </x14:dataValidation>
        <x14:dataValidation type="list" allowBlank="1" showInputMessage="1" showErrorMessage="1" xr:uid="{D3266816-E63A-D049-BEEA-3F456EE5AFC8}">
          <x14:formula1>
            <xm:f>lookup!$E$40:$E$42</xm:f>
          </x14:formula1>
          <xm:sqref>E13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B979-6C77-B94D-904F-98A5E116406B}">
  <dimension ref="A1:E61"/>
  <sheetViews>
    <sheetView topLeftCell="D46" zoomScale="164" workbookViewId="0">
      <selection activeCell="A65" sqref="A65"/>
    </sheetView>
  </sheetViews>
  <sheetFormatPr baseColWidth="10" defaultRowHeight="16" x14ac:dyDescent="0.2"/>
  <cols>
    <col min="1" max="1" width="33.33203125" bestFit="1" customWidth="1"/>
    <col min="2" max="2" width="15.5" bestFit="1" customWidth="1"/>
    <col min="3" max="4" width="12.6640625" bestFit="1" customWidth="1"/>
    <col min="5" max="5" width="12.1640625" bestFit="1" customWidth="1"/>
  </cols>
  <sheetData>
    <row r="1" spans="1:5" x14ac:dyDescent="0.2">
      <c r="A1" s="17" t="s">
        <v>98</v>
      </c>
      <c r="B1" s="17" t="s">
        <v>101</v>
      </c>
    </row>
    <row r="2" spans="1:5" x14ac:dyDescent="0.2">
      <c r="A2" s="17" t="s">
        <v>99</v>
      </c>
      <c r="B2" t="s">
        <v>96</v>
      </c>
      <c r="C2" t="s">
        <v>93</v>
      </c>
      <c r="D2" t="s">
        <v>94</v>
      </c>
      <c r="E2" t="s">
        <v>100</v>
      </c>
    </row>
    <row r="3" spans="1:5" x14ac:dyDescent="0.2">
      <c r="A3" s="18" t="s">
        <v>63</v>
      </c>
      <c r="B3">
        <v>0</v>
      </c>
      <c r="C3">
        <v>1.5</v>
      </c>
      <c r="D3">
        <v>3</v>
      </c>
      <c r="E3">
        <v>4.5</v>
      </c>
    </row>
    <row r="4" spans="1:5" x14ac:dyDescent="0.2">
      <c r="A4" s="18" t="s">
        <v>38</v>
      </c>
      <c r="B4">
        <v>1.1600000000000001</v>
      </c>
      <c r="C4">
        <v>2.41</v>
      </c>
      <c r="D4">
        <v>2.75</v>
      </c>
      <c r="E4">
        <v>6.32</v>
      </c>
    </row>
    <row r="5" spans="1:5" x14ac:dyDescent="0.2">
      <c r="A5" s="18" t="s">
        <v>13</v>
      </c>
      <c r="B5">
        <v>0.33</v>
      </c>
      <c r="C5">
        <v>1.6500000000000001</v>
      </c>
      <c r="D5">
        <v>2.66</v>
      </c>
      <c r="E5">
        <v>4.6400000000000006</v>
      </c>
    </row>
    <row r="6" spans="1:5" x14ac:dyDescent="0.2">
      <c r="A6" s="18" t="s">
        <v>56</v>
      </c>
      <c r="B6">
        <v>1.1600000000000001</v>
      </c>
      <c r="C6">
        <v>1.7399999999999998</v>
      </c>
      <c r="D6">
        <v>2.41</v>
      </c>
      <c r="E6">
        <v>5.3100000000000005</v>
      </c>
    </row>
    <row r="7" spans="1:5" x14ac:dyDescent="0.2">
      <c r="A7" s="18" t="s">
        <v>69</v>
      </c>
      <c r="B7">
        <v>0.375</v>
      </c>
      <c r="C7">
        <v>2.37</v>
      </c>
      <c r="D7">
        <v>3</v>
      </c>
      <c r="E7">
        <v>5.7450000000000001</v>
      </c>
    </row>
    <row r="8" spans="1:5" x14ac:dyDescent="0.2">
      <c r="A8" s="18" t="s">
        <v>100</v>
      </c>
      <c r="B8">
        <v>3.0250000000000004</v>
      </c>
      <c r="C8">
        <v>9.6700000000000017</v>
      </c>
      <c r="D8">
        <v>13.82</v>
      </c>
      <c r="E8">
        <v>26.515000000000004</v>
      </c>
    </row>
    <row r="11" spans="1:5" x14ac:dyDescent="0.2">
      <c r="A11" s="1" t="s">
        <v>95</v>
      </c>
      <c r="B11" s="1" t="s">
        <v>87</v>
      </c>
      <c r="C11" s="1" t="s">
        <v>97</v>
      </c>
    </row>
    <row r="12" spans="1:5" x14ac:dyDescent="0.2">
      <c r="A12" t="s">
        <v>108</v>
      </c>
      <c r="B12" t="str" cm="1">
        <f t="array" ref="B12:C16">'initial - circa 2022'!A21:B25</f>
        <v>Process integration</v>
      </c>
      <c r="C12">
        <v>0.33</v>
      </c>
    </row>
    <row r="13" spans="1:5" x14ac:dyDescent="0.2">
      <c r="A13" t="s">
        <v>108</v>
      </c>
      <c r="B13" t="str">
        <v>Methodology &amp;​ granularity</v>
      </c>
      <c r="C13">
        <v>1.1600000000000001</v>
      </c>
    </row>
    <row r="14" spans="1:5" x14ac:dyDescent="0.2">
      <c r="A14" t="s">
        <v>108</v>
      </c>
      <c r="B14" t="str">
        <v>Staff enablement</v>
      </c>
      <c r="C14">
        <v>1.1600000000000001</v>
      </c>
    </row>
    <row r="15" spans="1:5" x14ac:dyDescent="0.2">
      <c r="A15" t="s">
        <v>108</v>
      </c>
      <c r="B15" t="str">
        <v>Measurements and metrics</v>
      </c>
      <c r="C15">
        <v>0</v>
      </c>
    </row>
    <row r="16" spans="1:5" x14ac:dyDescent="0.2">
      <c r="A16" t="s">
        <v>108</v>
      </c>
      <c r="B16" t="str">
        <v>Threat model lifecycle and capabilities</v>
      </c>
      <c r="C16">
        <v>0.375</v>
      </c>
    </row>
    <row r="17" spans="1:5" x14ac:dyDescent="0.2">
      <c r="A17" t="s">
        <v>110</v>
      </c>
      <c r="B17" t="str" cm="1">
        <f t="array" ref="B17:C21">'phase 1 - 2023'!$A$21:$B$25</f>
        <v>Process integration</v>
      </c>
      <c r="C17">
        <v>1.6500000000000001</v>
      </c>
    </row>
    <row r="18" spans="1:5" x14ac:dyDescent="0.2">
      <c r="A18" t="s">
        <v>110</v>
      </c>
      <c r="B18" t="str">
        <v>Methodology &amp;​ granularity</v>
      </c>
      <c r="C18">
        <v>2.41</v>
      </c>
    </row>
    <row r="19" spans="1:5" x14ac:dyDescent="0.2">
      <c r="A19" t="s">
        <v>110</v>
      </c>
      <c r="B19" t="str">
        <v>Staff enablement</v>
      </c>
      <c r="C19">
        <v>1.7399999999999998</v>
      </c>
    </row>
    <row r="20" spans="1:5" x14ac:dyDescent="0.2">
      <c r="A20" t="s">
        <v>110</v>
      </c>
      <c r="B20" t="str">
        <v>Measurements and metrics</v>
      </c>
      <c r="C20">
        <v>1.5</v>
      </c>
    </row>
    <row r="21" spans="1:5" x14ac:dyDescent="0.2">
      <c r="A21" t="s">
        <v>110</v>
      </c>
      <c r="B21" t="str">
        <v>Threat model lifecycle and capabilities</v>
      </c>
      <c r="C21">
        <v>1.62</v>
      </c>
    </row>
    <row r="22" spans="1:5" x14ac:dyDescent="0.2">
      <c r="A22" t="s">
        <v>111</v>
      </c>
      <c r="B22" t="str" cm="1">
        <f t="array" ref="B22:C26">'phase 2 - 2024'!A21:B25</f>
        <v>Process integration</v>
      </c>
      <c r="C22">
        <v>2.66</v>
      </c>
    </row>
    <row r="23" spans="1:5" x14ac:dyDescent="0.2">
      <c r="A23" t="s">
        <v>111</v>
      </c>
      <c r="B23" t="str">
        <v>Methodology &amp;​ granularity</v>
      </c>
      <c r="C23">
        <v>2.75</v>
      </c>
    </row>
    <row r="24" spans="1:5" x14ac:dyDescent="0.2">
      <c r="A24" t="s">
        <v>111</v>
      </c>
      <c r="B24" t="str">
        <v>Staff enablement</v>
      </c>
      <c r="C24">
        <v>2.41</v>
      </c>
    </row>
    <row r="25" spans="1:5" x14ac:dyDescent="0.2">
      <c r="A25" t="s">
        <v>111</v>
      </c>
      <c r="B25" t="str">
        <v>Measurements and metrics</v>
      </c>
      <c r="C25">
        <v>1.5</v>
      </c>
    </row>
    <row r="26" spans="1:5" x14ac:dyDescent="0.2">
      <c r="A26" t="s">
        <v>111</v>
      </c>
      <c r="B26" t="str">
        <v>Threat model lifecycle and capabilities</v>
      </c>
      <c r="C26">
        <v>2.625</v>
      </c>
    </row>
    <row r="29" spans="1:5" x14ac:dyDescent="0.2">
      <c r="A29" s="17" t="s">
        <v>109</v>
      </c>
      <c r="B29" s="17" t="s">
        <v>101</v>
      </c>
    </row>
    <row r="30" spans="1:5" x14ac:dyDescent="0.2">
      <c r="A30" s="17" t="s">
        <v>99</v>
      </c>
      <c r="B30" t="s">
        <v>108</v>
      </c>
      <c r="C30" t="s">
        <v>110</v>
      </c>
      <c r="D30" t="s">
        <v>111</v>
      </c>
      <c r="E30" t="s">
        <v>100</v>
      </c>
    </row>
    <row r="31" spans="1:5" x14ac:dyDescent="0.2">
      <c r="A31" s="18" t="s">
        <v>63</v>
      </c>
      <c r="B31">
        <v>0</v>
      </c>
      <c r="C31">
        <v>1.5</v>
      </c>
      <c r="D31">
        <v>1.5</v>
      </c>
      <c r="E31">
        <v>1</v>
      </c>
    </row>
    <row r="32" spans="1:5" x14ac:dyDescent="0.2">
      <c r="A32" s="18" t="s">
        <v>38</v>
      </c>
      <c r="B32">
        <v>1.1600000000000001</v>
      </c>
      <c r="C32">
        <v>2.41</v>
      </c>
      <c r="D32">
        <v>2.75</v>
      </c>
      <c r="E32">
        <v>2.1066666666666669</v>
      </c>
    </row>
    <row r="33" spans="1:5" x14ac:dyDescent="0.2">
      <c r="A33" s="18" t="s">
        <v>13</v>
      </c>
      <c r="B33">
        <v>0.33</v>
      </c>
      <c r="C33">
        <v>1.6500000000000001</v>
      </c>
      <c r="D33">
        <v>2.66</v>
      </c>
      <c r="E33">
        <v>1.5466666666666669</v>
      </c>
    </row>
    <row r="34" spans="1:5" x14ac:dyDescent="0.2">
      <c r="A34" s="18" t="s">
        <v>56</v>
      </c>
      <c r="B34">
        <v>1.1600000000000001</v>
      </c>
      <c r="C34">
        <v>1.7399999999999998</v>
      </c>
      <c r="D34">
        <v>2.41</v>
      </c>
      <c r="E34">
        <v>1.7700000000000002</v>
      </c>
    </row>
    <row r="35" spans="1:5" x14ac:dyDescent="0.2">
      <c r="A35" s="18" t="s">
        <v>69</v>
      </c>
      <c r="B35">
        <v>0.375</v>
      </c>
      <c r="C35">
        <v>1.62</v>
      </c>
      <c r="D35">
        <v>2.625</v>
      </c>
      <c r="E35">
        <v>1.54</v>
      </c>
    </row>
    <row r="36" spans="1:5" x14ac:dyDescent="0.2">
      <c r="A36" s="18" t="s">
        <v>100</v>
      </c>
      <c r="B36">
        <v>0.60500000000000009</v>
      </c>
      <c r="C36">
        <v>1.7840000000000003</v>
      </c>
      <c r="D36">
        <v>2.3890000000000002</v>
      </c>
      <c r="E36">
        <v>1.5926666666666669</v>
      </c>
    </row>
    <row r="59" spans="1:2" x14ac:dyDescent="0.2">
      <c r="A59" s="20" t="s">
        <v>108</v>
      </c>
      <c r="B59" s="21">
        <v>0.60500000000000009</v>
      </c>
    </row>
    <row r="60" spans="1:2" x14ac:dyDescent="0.2">
      <c r="A60" s="20" t="s">
        <v>112</v>
      </c>
      <c r="B60" s="21">
        <v>1.7840000000000003</v>
      </c>
    </row>
    <row r="61" spans="1:2" x14ac:dyDescent="0.2">
      <c r="A61" s="20" t="s">
        <v>111</v>
      </c>
      <c r="B61" s="21">
        <v>2.3890000000000002</v>
      </c>
    </row>
  </sheetData>
  <pageMargins left="0.7" right="0.7" top="0.75" bottom="0.75" header="0.3" footer="0.3"/>
  <pageSetup paperSize="9" orientation="portrait" horizontalDpi="0" verticalDpi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876C-A913-C941-BE3E-CB60F1EB31A0}">
  <dimension ref="A2"/>
  <sheetViews>
    <sheetView zoomScale="44" workbookViewId="0">
      <selection activeCell="H35" sqref="H35"/>
    </sheetView>
  </sheetViews>
  <sheetFormatPr baseColWidth="10" defaultRowHeight="16" x14ac:dyDescent="0.2"/>
  <cols>
    <col min="1" max="1" width="24.5" customWidth="1"/>
    <col min="2" max="2" width="33.33203125" bestFit="1" customWidth="1"/>
  </cols>
  <sheetData>
    <row r="2" s="1" customFormat="1" x14ac:dyDescent="0.2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55FA-D24E-E744-A34A-68399F3A411A}">
  <sheetPr codeName="Sheet3"/>
  <dimension ref="A1:F42"/>
  <sheetViews>
    <sheetView tabSelected="1" zoomScale="125" zoomScaleNormal="125" workbookViewId="0">
      <selection activeCell="E13" sqref="E13"/>
    </sheetView>
  </sheetViews>
  <sheetFormatPr baseColWidth="10" defaultRowHeight="15" x14ac:dyDescent="0.2"/>
  <cols>
    <col min="1" max="1" width="33.1640625" style="14" bestFit="1" customWidth="1"/>
    <col min="2" max="2" width="45.1640625" style="14" bestFit="1" customWidth="1"/>
    <col min="3" max="3" width="12" style="14" bestFit="1" customWidth="1"/>
    <col min="4" max="4" width="54.6640625" style="14" customWidth="1"/>
    <col min="5" max="5" width="70.6640625" style="14" customWidth="1"/>
    <col min="6" max="16384" width="10.83203125" style="14"/>
  </cols>
  <sheetData>
    <row r="1" spans="1:6" x14ac:dyDescent="0.2">
      <c r="A1" s="14" t="s">
        <v>45</v>
      </c>
      <c r="B1" s="14" t="s">
        <v>30</v>
      </c>
      <c r="C1" s="14" t="s">
        <v>1</v>
      </c>
      <c r="D1" s="14" t="s">
        <v>2</v>
      </c>
      <c r="E1" s="14" t="s">
        <v>3</v>
      </c>
      <c r="F1" s="14" t="s">
        <v>4</v>
      </c>
    </row>
    <row r="2" spans="1:6" x14ac:dyDescent="0.2">
      <c r="A2" s="14" t="s">
        <v>13</v>
      </c>
      <c r="B2" s="14" t="s">
        <v>24</v>
      </c>
      <c r="C2" s="14" t="s">
        <v>5</v>
      </c>
      <c r="D2" s="14" t="s">
        <v>6</v>
      </c>
      <c r="E2" s="14" t="s">
        <v>7</v>
      </c>
      <c r="F2" s="14">
        <v>0</v>
      </c>
    </row>
    <row r="3" spans="1:6" x14ac:dyDescent="0.2">
      <c r="A3" s="16"/>
      <c r="B3" s="16"/>
      <c r="C3" s="16"/>
      <c r="D3" s="16"/>
      <c r="E3" s="16" t="s">
        <v>8</v>
      </c>
      <c r="F3" s="14">
        <v>0.33</v>
      </c>
    </row>
    <row r="4" spans="1:6" x14ac:dyDescent="0.2">
      <c r="A4" s="16"/>
      <c r="C4" s="16"/>
      <c r="D4" s="16"/>
      <c r="E4" s="16" t="s">
        <v>9</v>
      </c>
      <c r="F4" s="14">
        <v>0.66</v>
      </c>
    </row>
    <row r="5" spans="1:6" x14ac:dyDescent="0.2">
      <c r="A5" s="16"/>
      <c r="C5" s="16"/>
      <c r="D5" s="16"/>
      <c r="E5" s="16" t="s">
        <v>10</v>
      </c>
      <c r="F5" s="14">
        <v>1</v>
      </c>
    </row>
    <row r="6" spans="1:6" x14ac:dyDescent="0.2">
      <c r="A6" s="16"/>
      <c r="B6" s="14" t="s">
        <v>25</v>
      </c>
      <c r="C6" s="16" t="s">
        <v>11</v>
      </c>
      <c r="D6" s="16" t="s">
        <v>12</v>
      </c>
      <c r="E6" s="16" t="s">
        <v>26</v>
      </c>
      <c r="F6" s="14">
        <v>0</v>
      </c>
    </row>
    <row r="7" spans="1:6" x14ac:dyDescent="0.2">
      <c r="A7" s="16"/>
      <c r="B7" s="16"/>
      <c r="C7" s="16"/>
      <c r="D7" s="16"/>
      <c r="E7" s="16" t="s">
        <v>27</v>
      </c>
      <c r="F7" s="14">
        <v>0.33</v>
      </c>
    </row>
    <row r="8" spans="1:6" x14ac:dyDescent="0.2">
      <c r="C8" s="16"/>
      <c r="E8" s="16" t="s">
        <v>28</v>
      </c>
      <c r="F8" s="14">
        <v>0.66</v>
      </c>
    </row>
    <row r="9" spans="1:6" x14ac:dyDescent="0.2">
      <c r="E9" s="16" t="s">
        <v>29</v>
      </c>
      <c r="F9" s="14">
        <v>1</v>
      </c>
    </row>
    <row r="10" spans="1:6" x14ac:dyDescent="0.2">
      <c r="B10" s="14" t="s">
        <v>33</v>
      </c>
      <c r="C10" s="14" t="s">
        <v>14</v>
      </c>
      <c r="D10" s="14" t="s">
        <v>34</v>
      </c>
      <c r="E10" s="16" t="s">
        <v>35</v>
      </c>
      <c r="F10" s="14">
        <v>0</v>
      </c>
    </row>
    <row r="11" spans="1:6" x14ac:dyDescent="0.2">
      <c r="B11" s="16"/>
      <c r="C11" s="16"/>
      <c r="D11" s="16"/>
      <c r="E11" s="16" t="s">
        <v>36</v>
      </c>
      <c r="F11" s="14">
        <v>0.33</v>
      </c>
    </row>
    <row r="12" spans="1:6" x14ac:dyDescent="0.2">
      <c r="E12" s="16" t="s">
        <v>37</v>
      </c>
      <c r="F12" s="14">
        <v>0.66</v>
      </c>
    </row>
    <row r="13" spans="1:6" x14ac:dyDescent="0.2">
      <c r="E13" s="16" t="s">
        <v>39</v>
      </c>
      <c r="F13" s="14">
        <v>1</v>
      </c>
    </row>
    <row r="14" spans="1:6" x14ac:dyDescent="0.2">
      <c r="A14" s="14" t="s">
        <v>38</v>
      </c>
      <c r="B14" s="14" t="s">
        <v>92</v>
      </c>
      <c r="C14" s="14" t="s">
        <v>15</v>
      </c>
      <c r="D14" s="14" t="s">
        <v>41</v>
      </c>
      <c r="E14" s="16" t="s">
        <v>42</v>
      </c>
      <c r="F14" s="14">
        <v>0</v>
      </c>
    </row>
    <row r="15" spans="1:6" x14ac:dyDescent="0.2">
      <c r="A15" s="16"/>
      <c r="B15" s="16"/>
      <c r="C15" s="16"/>
      <c r="D15" s="16"/>
      <c r="E15" s="16" t="s">
        <v>43</v>
      </c>
      <c r="F15" s="14">
        <v>0.66</v>
      </c>
    </row>
    <row r="16" spans="1:6" x14ac:dyDescent="0.2">
      <c r="E16" s="16" t="s">
        <v>44</v>
      </c>
      <c r="F16" s="14">
        <v>1</v>
      </c>
    </row>
    <row r="17" spans="1:6" x14ac:dyDescent="0.2">
      <c r="B17" s="14" t="s">
        <v>46</v>
      </c>
      <c r="C17" s="14" t="s">
        <v>16</v>
      </c>
      <c r="D17" s="14" t="s">
        <v>47</v>
      </c>
      <c r="E17" s="16" t="s">
        <v>48</v>
      </c>
      <c r="F17" s="14">
        <v>0</v>
      </c>
    </row>
    <row r="18" spans="1:6" x14ac:dyDescent="0.2">
      <c r="B18" s="16"/>
      <c r="C18" s="16"/>
      <c r="D18" s="16"/>
      <c r="E18" s="16" t="s">
        <v>49</v>
      </c>
      <c r="F18" s="14">
        <v>0.5</v>
      </c>
    </row>
    <row r="19" spans="1:6" x14ac:dyDescent="0.2">
      <c r="E19" s="16" t="s">
        <v>50</v>
      </c>
      <c r="F19" s="14">
        <v>0.75</v>
      </c>
    </row>
    <row r="20" spans="1:6" ht="32" x14ac:dyDescent="0.2">
      <c r="E20" s="15" t="s">
        <v>51</v>
      </c>
      <c r="F20" s="14">
        <v>1</v>
      </c>
    </row>
    <row r="21" spans="1:6" x14ac:dyDescent="0.2">
      <c r="B21" s="14" t="s">
        <v>52</v>
      </c>
      <c r="C21" s="14" t="s">
        <v>17</v>
      </c>
      <c r="D21" s="14" t="s">
        <v>53</v>
      </c>
      <c r="E21" s="16" t="s">
        <v>54</v>
      </c>
      <c r="F21" s="14">
        <v>0</v>
      </c>
    </row>
    <row r="22" spans="1:6" x14ac:dyDescent="0.2">
      <c r="B22" s="16"/>
      <c r="C22" s="16"/>
      <c r="D22" s="16"/>
      <c r="E22" s="16" t="s">
        <v>88</v>
      </c>
      <c r="F22" s="14">
        <v>0.5</v>
      </c>
    </row>
    <row r="23" spans="1:6" x14ac:dyDescent="0.2">
      <c r="E23" s="16" t="s">
        <v>55</v>
      </c>
      <c r="F23" s="14">
        <v>1</v>
      </c>
    </row>
    <row r="24" spans="1:6" x14ac:dyDescent="0.2">
      <c r="A24" s="14" t="s">
        <v>56</v>
      </c>
      <c r="B24" s="14" t="s">
        <v>57</v>
      </c>
      <c r="C24" s="14" t="s">
        <v>18</v>
      </c>
      <c r="D24" s="14" t="s">
        <v>58</v>
      </c>
      <c r="E24" s="16" t="s">
        <v>59</v>
      </c>
      <c r="F24" s="14">
        <v>0</v>
      </c>
    </row>
    <row r="25" spans="1:6" x14ac:dyDescent="0.2">
      <c r="A25" s="16"/>
      <c r="B25" s="16"/>
      <c r="C25" s="16"/>
      <c r="D25" s="16"/>
      <c r="E25" s="16" t="s">
        <v>60</v>
      </c>
      <c r="F25" s="14">
        <v>0.33</v>
      </c>
    </row>
    <row r="26" spans="1:6" x14ac:dyDescent="0.2">
      <c r="E26" s="16" t="s">
        <v>61</v>
      </c>
      <c r="F26" s="14">
        <v>0.66</v>
      </c>
    </row>
    <row r="27" spans="1:6" x14ac:dyDescent="0.2">
      <c r="E27" s="16" t="s">
        <v>62</v>
      </c>
      <c r="F27" s="14">
        <v>1</v>
      </c>
    </row>
    <row r="28" spans="1:6" x14ac:dyDescent="0.2">
      <c r="A28" s="14" t="s">
        <v>63</v>
      </c>
      <c r="B28" s="14" t="s">
        <v>64</v>
      </c>
      <c r="C28" s="14" t="s">
        <v>19</v>
      </c>
      <c r="D28" s="14" t="s">
        <v>65</v>
      </c>
      <c r="E28" s="16" t="s">
        <v>66</v>
      </c>
      <c r="F28" s="14">
        <v>0</v>
      </c>
    </row>
    <row r="29" spans="1:6" x14ac:dyDescent="0.2">
      <c r="A29" s="16"/>
      <c r="B29" s="16"/>
      <c r="C29" s="16"/>
      <c r="D29" s="16"/>
      <c r="E29" s="16" t="s">
        <v>67</v>
      </c>
      <c r="F29" s="14">
        <v>0.5</v>
      </c>
    </row>
    <row r="30" spans="1:6" x14ac:dyDescent="0.2">
      <c r="E30" s="16" t="s">
        <v>68</v>
      </c>
      <c r="F30" s="14">
        <v>1</v>
      </c>
    </row>
    <row r="31" spans="1:6" x14ac:dyDescent="0.2">
      <c r="A31" s="16" t="s">
        <v>69</v>
      </c>
      <c r="B31" s="16" t="s">
        <v>91</v>
      </c>
      <c r="C31" s="16" t="s">
        <v>20</v>
      </c>
      <c r="D31" s="16" t="s">
        <v>71</v>
      </c>
      <c r="E31" s="16" t="s">
        <v>72</v>
      </c>
      <c r="F31" s="14">
        <v>0</v>
      </c>
    </row>
    <row r="32" spans="1:6" x14ac:dyDescent="0.2">
      <c r="E32" s="16" t="s">
        <v>73</v>
      </c>
      <c r="F32" s="14">
        <v>0.66</v>
      </c>
    </row>
    <row r="33" spans="2:6" x14ac:dyDescent="0.2">
      <c r="E33" s="16" t="s">
        <v>74</v>
      </c>
      <c r="F33" s="14">
        <v>1</v>
      </c>
    </row>
    <row r="34" spans="2:6" x14ac:dyDescent="0.2">
      <c r="C34" s="16" t="s">
        <v>21</v>
      </c>
      <c r="D34" s="16" t="s">
        <v>75</v>
      </c>
      <c r="E34" s="16" t="s">
        <v>76</v>
      </c>
      <c r="F34" s="14">
        <v>0</v>
      </c>
    </row>
    <row r="35" spans="2:6" x14ac:dyDescent="0.2">
      <c r="E35" s="16" t="s">
        <v>77</v>
      </c>
      <c r="F35" s="14">
        <v>0.5</v>
      </c>
    </row>
    <row r="36" spans="2:6" x14ac:dyDescent="0.2">
      <c r="E36" s="14" t="s">
        <v>78</v>
      </c>
      <c r="F36" s="14">
        <v>1</v>
      </c>
    </row>
    <row r="37" spans="2:6" x14ac:dyDescent="0.2">
      <c r="B37" s="16" t="s">
        <v>79</v>
      </c>
      <c r="C37" s="16" t="s">
        <v>22</v>
      </c>
      <c r="D37" s="16" t="s">
        <v>80</v>
      </c>
      <c r="E37" s="16" t="s">
        <v>76</v>
      </c>
      <c r="F37" s="14">
        <v>0</v>
      </c>
    </row>
    <row r="38" spans="2:6" x14ac:dyDescent="0.2">
      <c r="E38" s="16" t="s">
        <v>81</v>
      </c>
      <c r="F38" s="14">
        <v>0.5</v>
      </c>
    </row>
    <row r="39" spans="2:6" x14ac:dyDescent="0.2">
      <c r="E39" s="16" t="s">
        <v>82</v>
      </c>
      <c r="F39" s="14">
        <v>1</v>
      </c>
    </row>
    <row r="40" spans="2:6" x14ac:dyDescent="0.2">
      <c r="C40" s="16" t="s">
        <v>23</v>
      </c>
      <c r="D40" s="16" t="s">
        <v>83</v>
      </c>
      <c r="E40" s="16" t="s">
        <v>84</v>
      </c>
      <c r="F40" s="14">
        <v>0</v>
      </c>
    </row>
    <row r="41" spans="2:6" x14ac:dyDescent="0.2">
      <c r="E41" s="16" t="s">
        <v>85</v>
      </c>
      <c r="F41" s="14">
        <v>0.5</v>
      </c>
    </row>
    <row r="42" spans="2:6" x14ac:dyDescent="0.2">
      <c r="E42" s="16" t="s">
        <v>86</v>
      </c>
      <c r="F42" s="14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initial - circa 2022</vt:lpstr>
      <vt:lpstr>phase 1 - 2023</vt:lpstr>
      <vt:lpstr>phase 2 - 2024</vt:lpstr>
      <vt:lpstr>pivot</vt:lpstr>
      <vt:lpstr>reports</vt:lpstr>
      <vt:lpstr>lookup</vt:lpstr>
      <vt:lpstr>pivot!Print_Titles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Cervigni</cp:lastModifiedBy>
  <dcterms:created xsi:type="dcterms:W3CDTF">2022-09-01T08:40:32Z</dcterms:created>
  <dcterms:modified xsi:type="dcterms:W3CDTF">2024-03-14T09:14:55Z</dcterms:modified>
</cp:coreProperties>
</file>